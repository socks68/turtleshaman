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PWeight3" sheetId="1" r:id="rId5"/>
    <sheet state="hidden" name="StrWeight3" sheetId="2" r:id="rId6"/>
    <sheet state="hidden" name="StrWeight4" sheetId="3" r:id="rId7"/>
    <sheet state="hidden" name="AgiWeight3" sheetId="4" r:id="rId8"/>
    <sheet state="hidden" name="AgiWeight4" sheetId="5" r:id="rId9"/>
    <sheet state="hidden" name="PhysCritWeight3" sheetId="6" r:id="rId10"/>
    <sheet state="hidden" name="PhysHitWeight3" sheetId="7" r:id="rId11"/>
    <sheet state="hidden" name="PhysHitWeight4" sheetId="8" r:id="rId12"/>
    <sheet state="hidden" name="WepSkillWeight3" sheetId="9" r:id="rId13"/>
    <sheet state="hidden" name="WepSkillWeight4" sheetId="10" r:id="rId14"/>
    <sheet state="hidden" name="ArPWeight3" sheetId="11" r:id="rId15"/>
    <sheet state="hidden" name="ArPWeight4" sheetId="12" r:id="rId16"/>
    <sheet state="hidden" name="IntWeight3" sheetId="13" r:id="rId17"/>
    <sheet state="hidden" name="IntWeight4" sheetId="14" r:id="rId18"/>
    <sheet state="hidden" name="SpellPenWeight3" sheetId="15" r:id="rId19"/>
    <sheet state="hidden" name="SpellPenWeight4" sheetId="16" r:id="rId20"/>
    <sheet state="hidden" name="NatureWeight3" sheetId="17" r:id="rId21"/>
    <sheet state="hidden" name="NatureWeight4" sheetId="18" r:id="rId22"/>
    <sheet state="hidden" name="FireWeight3" sheetId="19" r:id="rId23"/>
    <sheet state="hidden" name="FireWeight4" sheetId="20" r:id="rId24"/>
    <sheet state="hidden" name="SpellCritWeight4" sheetId="21" r:id="rId25"/>
    <sheet state="hidden" name="SpellCritWeight3" sheetId="22" r:id="rId26"/>
    <sheet state="hidden" name="SpellHitWeight3" sheetId="23" r:id="rId27"/>
    <sheet state="hidden" name="SpellHitWeight4" sheetId="24" r:id="rId28"/>
    <sheet state="hidden" name="HasteWeight4" sheetId="25" r:id="rId29"/>
    <sheet state="hidden" name="APWeight4" sheetId="26" r:id="rId30"/>
    <sheet state="hidden" name="PhysCritWeight4" sheetId="27" r:id="rId31"/>
    <sheet state="hidden" name="HasteWeight3" sheetId="28" r:id="rId32"/>
    <sheet state="visible" name="Main(automatic)" sheetId="29" r:id="rId33"/>
    <sheet state="visible" name="GearInputs" sheetId="30" r:id="rId34"/>
    <sheet state="visible" name="Main(manual)" sheetId="31" r:id="rId35"/>
    <sheet state="hidden" name="Notes and old formulas" sheetId="32" r:id="rId36"/>
    <sheet state="hidden" name="Main(manual)2" sheetId="33" r:id="rId37"/>
    <sheet state="visible" name="Statweights" sheetId="34" r:id="rId38"/>
    <sheet state="hidden" name="Writeup" sheetId="35" r:id="rId39"/>
    <sheet state="hidden" name="Dmg testing" sheetId="36" r:id="rId40"/>
    <sheet state="hidden" name="Threat comparisons" sheetId="37" r:id="rId41"/>
    <sheet state="hidden" name="Gear Data" sheetId="38" r:id="rId42"/>
    <sheet state="hidden" name="Enchant Data" sheetId="39" r:id="rId43"/>
    <sheet state="hidden" name="Weapon Data" sheetId="40" r:id="rId44"/>
  </sheets>
  <definedNames>
    <definedName hidden="1" localSheetId="37" name="_xlnm._FilterDatabase">'Gear Data'!$A$1:$S$231</definedName>
  </definedNames>
  <calcPr/>
</workbook>
</file>

<file path=xl/sharedStrings.xml><?xml version="1.0" encoding="utf-8"?>
<sst xmlns="http://schemas.openxmlformats.org/spreadsheetml/2006/main" count="10575" uniqueCount="800">
  <si>
    <t>Character Stats (In Gear)</t>
  </si>
  <si>
    <t>Talents</t>
  </si>
  <si>
    <t>Weps/Sets/Relics</t>
  </si>
  <si>
    <t>Encounter/Target</t>
  </si>
  <si>
    <t>Buffs</t>
  </si>
  <si>
    <t>Consumables</t>
  </si>
  <si>
    <t>Final Attributes</t>
  </si>
  <si>
    <t>Final Encounter Parameters</t>
  </si>
  <si>
    <t>Threat coefficients (and other modifiers)</t>
  </si>
  <si>
    <t>Bonus Strength</t>
  </si>
  <si>
    <t>Ancestral Knowledge</t>
  </si>
  <si>
    <t>Min Weapon Dam</t>
  </si>
  <si>
    <t>Fight Duration (sec)</t>
  </si>
  <si>
    <t>Shield</t>
  </si>
  <si>
    <t># of Major Mana</t>
  </si>
  <si>
    <t>Strength</t>
  </si>
  <si>
    <t>Miss+Dodge%</t>
  </si>
  <si>
    <t>T3.5 5pc Uptime</t>
  </si>
  <si>
    <t>Totemic Alignment</t>
  </si>
  <si>
    <t>Melee AP</t>
  </si>
  <si>
    <t>Thundering Strikes</t>
  </si>
  <si>
    <t>Max Weapon Dam</t>
  </si>
  <si>
    <t>Level</t>
  </si>
  <si>
    <t>Imbue</t>
  </si>
  <si>
    <t># of Tea</t>
  </si>
  <si>
    <t>Parry%</t>
  </si>
  <si>
    <t>ForgottenOrder</t>
  </si>
  <si>
    <t>Rockbiter</t>
  </si>
  <si>
    <t>Bonus Agility</t>
  </si>
  <si>
    <t>Weapon Speed</t>
  </si>
  <si>
    <t>No. of Targets</t>
  </si>
  <si>
    <t>Fire Totem</t>
  </si>
  <si>
    <t># of Rune</t>
  </si>
  <si>
    <t>Agility</t>
  </si>
  <si>
    <t>Block%</t>
  </si>
  <si>
    <t>T2.5 Rockbiter buff</t>
  </si>
  <si>
    <t>Phys Crit</t>
  </si>
  <si>
    <t>Calming Winds</t>
  </si>
  <si>
    <t>Stonebreaker Totem</t>
  </si>
  <si>
    <t>Attacking Behind</t>
  </si>
  <si>
    <t>Stoneclaw totem</t>
  </si>
  <si>
    <t>Elixir of Giants</t>
  </si>
  <si>
    <t>Glancing Chance</t>
  </si>
  <si>
    <t>Spirit Armor</t>
  </si>
  <si>
    <t>Phys Hit</t>
  </si>
  <si>
    <t>Flurry</t>
  </si>
  <si>
    <t>Crackling Totem</t>
  </si>
  <si>
    <t>Being Attacked</t>
  </si>
  <si>
    <t>Salvation</t>
  </si>
  <si>
    <t>Mongoose</t>
  </si>
  <si>
    <t>Block Value</t>
  </si>
  <si>
    <t>Enhancing Totems</t>
  </si>
  <si>
    <t>Haste</t>
  </si>
  <si>
    <t>Totem of Rage</t>
  </si>
  <si>
    <t>Shield Proc Interval</t>
  </si>
  <si>
    <t>Tranquil Air</t>
  </si>
  <si>
    <t>Firewater</t>
  </si>
  <si>
    <t>Glancing Damage</t>
  </si>
  <si>
    <t>Weapon Skill</t>
  </si>
  <si>
    <t>Element's Grace</t>
  </si>
  <si>
    <t>Broken Earth totem</t>
  </si>
  <si>
    <t>Armour</t>
  </si>
  <si>
    <t>Battle Shout</t>
  </si>
  <si>
    <t>Juju Power</t>
  </si>
  <si>
    <t>Intellect</t>
  </si>
  <si>
    <t>Hit%</t>
  </si>
  <si>
    <t>Armor Pen</t>
  </si>
  <si>
    <t>Concussion</t>
  </si>
  <si>
    <t>Totem of Tides</t>
  </si>
  <si>
    <t>Sunder Armour</t>
  </si>
  <si>
    <t>Might</t>
  </si>
  <si>
    <t>Juju Might</t>
  </si>
  <si>
    <t>MP5</t>
  </si>
  <si>
    <t>Crit Cap</t>
  </si>
  <si>
    <t>Stormstrike</t>
  </si>
  <si>
    <t>Bonus Intellect</t>
  </si>
  <si>
    <t>Convection</t>
  </si>
  <si>
    <t>T2 3pc</t>
  </si>
  <si>
    <t>Curse of Reck</t>
  </si>
  <si>
    <t>Kings</t>
  </si>
  <si>
    <t>R.O.I.D.S</t>
  </si>
  <si>
    <t>Spirit</t>
  </si>
  <si>
    <t>Crit% Post Suppression</t>
  </si>
  <si>
    <t>Ele Devastation</t>
  </si>
  <si>
    <t>T2.5 5pc</t>
  </si>
  <si>
    <t>Faerie Fire</t>
  </si>
  <si>
    <t>MotW</t>
  </si>
  <si>
    <t>Scorpok Assay</t>
  </si>
  <si>
    <t>Meditation</t>
  </si>
  <si>
    <t>Effective Armour</t>
  </si>
  <si>
    <t>Bonus Spirit</t>
  </si>
  <si>
    <t>Elemental Weapons</t>
  </si>
  <si>
    <t>T3 2pc</t>
  </si>
  <si>
    <t>Improved EA</t>
  </si>
  <si>
    <t>Strength of Earth</t>
  </si>
  <si>
    <t>Tel'Abim Medley</t>
  </si>
  <si>
    <t>Mana Per 2 (5SR)</t>
  </si>
  <si>
    <t>Armour DR</t>
  </si>
  <si>
    <t>Reverberation</t>
  </si>
  <si>
    <t>T3 4pc</t>
  </si>
  <si>
    <t>Hemorrhage</t>
  </si>
  <si>
    <t>Grace of Air</t>
  </si>
  <si>
    <t>Power Mushroom</t>
  </si>
  <si>
    <t>Raw Mana Pool</t>
  </si>
  <si>
    <t>NPC Level Resist</t>
  </si>
  <si>
    <t>Spell Pen</t>
  </si>
  <si>
    <t>Call of Flame</t>
  </si>
  <si>
    <t>T3 6pc</t>
  </si>
  <si>
    <t>Gift of Arthas</t>
  </si>
  <si>
    <t>Leader of Pack</t>
  </si>
  <si>
    <t>Zanza</t>
  </si>
  <si>
    <t>Final Mana Pool</t>
  </si>
  <si>
    <t>Effective NR</t>
  </si>
  <si>
    <t>Nature Spellpower</t>
  </si>
  <si>
    <t>Elemental Focus</t>
  </si>
  <si>
    <t>T3.5 3pc</t>
  </si>
  <si>
    <t>NR</t>
  </si>
  <si>
    <t>Trueshot Aura</t>
  </si>
  <si>
    <t>Mageblood</t>
  </si>
  <si>
    <t>Effective FR</t>
  </si>
  <si>
    <t>Fire Spellpower</t>
  </si>
  <si>
    <t>Improved Fire Totems</t>
  </si>
  <si>
    <t>T3.5 5pc</t>
  </si>
  <si>
    <t>FR</t>
  </si>
  <si>
    <t>Boomy Aura</t>
  </si>
  <si>
    <t>Supreme Power</t>
  </si>
  <si>
    <t>Ele Dev Uptime</t>
  </si>
  <si>
    <t>Spell Crit</t>
  </si>
  <si>
    <t>Elemental Fury</t>
  </si>
  <si>
    <t>Threat Gloves</t>
  </si>
  <si>
    <t>Thunderfury</t>
  </si>
  <si>
    <t>Bloodlust</t>
  </si>
  <si>
    <t>Arcane Elixir</t>
  </si>
  <si>
    <t>Focus Uptime</t>
  </si>
  <si>
    <t>Spell Hit</t>
  </si>
  <si>
    <t>Subtlety Cloak</t>
  </si>
  <si>
    <t>Curse of Elements</t>
  </si>
  <si>
    <t>Arcane Intellect</t>
  </si>
  <si>
    <t>Nature Power</t>
  </si>
  <si>
    <t>Flurry Uptime</t>
  </si>
  <si>
    <t>Race</t>
  </si>
  <si>
    <t>Imp Molten Blast</t>
  </si>
  <si>
    <t>Crusader</t>
  </si>
  <si>
    <t>Improved Scorch</t>
  </si>
  <si>
    <t>Divine Spirit</t>
  </si>
  <si>
    <t>Fire Power</t>
  </si>
  <si>
    <t>JoW Hits (60 sec)</t>
  </si>
  <si>
    <t>Windfury Procs (60 sec)</t>
  </si>
  <si>
    <t>Using Shield?</t>
  </si>
  <si>
    <t>Nightfall</t>
  </si>
  <si>
    <t>Emerald Blessing</t>
  </si>
  <si>
    <t>Dreamtonic</t>
  </si>
  <si>
    <t>Stonebreaker Uptime</t>
  </si>
  <si>
    <t>Sulfuras proc</t>
  </si>
  <si>
    <t>Judgement of Wisdom</t>
  </si>
  <si>
    <t>Wisdom</t>
  </si>
  <si>
    <t>Dreamshard</t>
  </si>
  <si>
    <t>Crackling Uptime</t>
  </si>
  <si>
    <t>TPS</t>
  </si>
  <si>
    <t>Neretzek proc</t>
  </si>
  <si>
    <t>Mana Spring</t>
  </si>
  <si>
    <t>Tel'Abim Delight</t>
  </si>
  <si>
    <t>WoC Uptime</t>
  </si>
  <si>
    <t>DPS</t>
  </si>
  <si>
    <t>DTC proc</t>
  </si>
  <si>
    <t>D.Breath Chili</t>
  </si>
  <si>
    <t>Nobility Drape Uptime</t>
  </si>
  <si>
    <t>Forgotten Order proc</t>
  </si>
  <si>
    <t>Berserking</t>
  </si>
  <si>
    <t>Crusader Uptime</t>
  </si>
  <si>
    <t>Total</t>
  </si>
  <si>
    <t>%asPhys</t>
  </si>
  <si>
    <t>%asMagic</t>
  </si>
  <si>
    <t>Wrath of Cenarius</t>
  </si>
  <si>
    <t>Bloodfury</t>
  </si>
  <si>
    <t>Stat Weights</t>
  </si>
  <si>
    <t>Weight (dps)</t>
  </si>
  <si>
    <t>Weight (ap)</t>
  </si>
  <si>
    <t>Weight (sp)</t>
  </si>
  <si>
    <t># of spellstrike items</t>
  </si>
  <si>
    <t>Elemental Mastery</t>
  </si>
  <si>
    <t>1 AP =</t>
  </si>
  <si>
    <t>T1 5pc</t>
  </si>
  <si>
    <t>Kiss of the Spider</t>
  </si>
  <si>
    <t>1 str =</t>
  </si>
  <si>
    <t>Hand of Edward</t>
  </si>
  <si>
    <t>Slayer's Crest</t>
  </si>
  <si>
    <t>1 agi =</t>
  </si>
  <si>
    <t>Molten Emberstone</t>
  </si>
  <si>
    <t>1 int =</t>
  </si>
  <si>
    <t xml:space="preserve">1% phys crit = </t>
  </si>
  <si>
    <t>1% phys hit =</t>
  </si>
  <si>
    <t>1% haste =</t>
  </si>
  <si>
    <t>1 wep skill =</t>
  </si>
  <si>
    <t>1 ArP =</t>
  </si>
  <si>
    <t>1 SP =</t>
  </si>
  <si>
    <t>1 nature SP =</t>
  </si>
  <si>
    <t>1 fire SP =</t>
  </si>
  <si>
    <t>1 spell crit =</t>
  </si>
  <si>
    <t>1 spell hit =</t>
  </si>
  <si>
    <t>1 spell pen =</t>
  </si>
  <si>
    <t>Spell</t>
  </si>
  <si>
    <t xml:space="preserve">Base </t>
  </si>
  <si>
    <t>Swing/CD TIme</t>
  </si>
  <si>
    <t>SP Coeff</t>
  </si>
  <si>
    <t>AP Coeff</t>
  </si>
  <si>
    <t>Min</t>
  </si>
  <si>
    <t>Max</t>
  </si>
  <si>
    <t>Avg Hit</t>
  </si>
  <si>
    <t>%ofTotalDPS</t>
  </si>
  <si>
    <t>Mana</t>
  </si>
  <si>
    <t>MPS</t>
  </si>
  <si>
    <t>OOM (sec)</t>
  </si>
  <si>
    <t>Auto-Attacks</t>
  </si>
  <si>
    <t>Windfury Attack</t>
  </si>
  <si>
    <t>Flametongue</t>
  </si>
  <si>
    <t>Lstrike Physical</t>
  </si>
  <si>
    <t>Lstrike Nature</t>
  </si>
  <si>
    <t>Empowered LS</t>
  </si>
  <si>
    <t>Earth Shock</t>
  </si>
  <si>
    <t>Flame Shock Initial</t>
  </si>
  <si>
    <t>Flame Shock DoT</t>
  </si>
  <si>
    <t>Lightning Shield</t>
  </si>
  <si>
    <t>Water Shield</t>
  </si>
  <si>
    <t>N/A</t>
  </si>
  <si>
    <t>Searing</t>
  </si>
  <si>
    <t>Magma</t>
  </si>
  <si>
    <t>Nova</t>
  </si>
  <si>
    <t>Stoneclaw</t>
  </si>
  <si>
    <t>Procs</t>
  </si>
  <si>
    <t>`</t>
  </si>
  <si>
    <t>Rotation</t>
  </si>
  <si>
    <t>Mana Threat</t>
  </si>
  <si>
    <t>Calming Winds Avg</t>
  </si>
  <si>
    <t>ES Avg</t>
  </si>
  <si>
    <t>Other Avg</t>
  </si>
  <si>
    <t>Fire Totem Avg</t>
  </si>
  <si>
    <t>Avg Total</t>
  </si>
  <si>
    <t>Out Of Mana (sec)</t>
  </si>
  <si>
    <t>1 FS / 2 ES</t>
  </si>
  <si>
    <t>ES only</t>
  </si>
  <si>
    <t>Avg dmg</t>
  </si>
  <si>
    <t>Dps</t>
  </si>
  <si>
    <t>Sulfuras proc:</t>
  </si>
  <si>
    <t>Crusader proc chance</t>
  </si>
  <si>
    <t>Nightfall proc chance</t>
  </si>
  <si>
    <t>Fist proc chance:</t>
  </si>
  <si>
    <t>Neretzek proc:</t>
  </si>
  <si>
    <t>Nightfall uptime</t>
  </si>
  <si>
    <t>DTC proc chance:</t>
  </si>
  <si>
    <t>DTC proc:</t>
  </si>
  <si>
    <t>Totem of Tides:</t>
  </si>
  <si>
    <t>Forgotten order proc:</t>
  </si>
  <si>
    <t>Ft per min</t>
  </si>
  <si>
    <t>Ls nature hit</t>
  </si>
  <si>
    <t>Lshield hits</t>
  </si>
  <si>
    <t>Shocks</t>
  </si>
  <si>
    <t>Neretzek?</t>
  </si>
  <si>
    <t>Spellstrike</t>
  </si>
  <si>
    <t>Total Spell Hits</t>
  </si>
  <si>
    <t>w/ spellstrike</t>
  </si>
  <si>
    <t>Totem weave</t>
  </si>
  <si>
    <t>Nova+Searing</t>
  </si>
  <si>
    <t>Nova+Magma</t>
  </si>
  <si>
    <t>25-33 base damage</t>
  </si>
  <si>
    <t>2s icd</t>
  </si>
  <si>
    <t>Dmg</t>
  </si>
  <si>
    <t>Self DPS</t>
  </si>
  <si>
    <t>Fire res</t>
  </si>
  <si>
    <t>Forbidden checkbox</t>
  </si>
  <si>
    <t>OBD</t>
  </si>
  <si>
    <t>Melee attacks, ss, ls, 15% chance to proc EMPOWERED ls</t>
  </si>
  <si>
    <t>If its empowered:</t>
  </si>
  <si>
    <t>If its normal:</t>
  </si>
  <si>
    <t>5% str, 10% haste, 10% chance on autos/wf hits</t>
  </si>
  <si>
    <t>Damage</t>
  </si>
  <si>
    <t>Effective Coef.</t>
  </si>
  <si>
    <t>Stat weight add</t>
  </si>
  <si>
    <t>Dragonbreath Chili</t>
  </si>
  <si>
    <t>Proc chance</t>
  </si>
  <si>
    <t>PPM</t>
  </si>
  <si>
    <t>Lightning Bolt</t>
  </si>
  <si>
    <t>Chain Lightning</t>
  </si>
  <si>
    <t>Molten Blast</t>
  </si>
  <si>
    <t>Rekindle</t>
  </si>
  <si>
    <t>% of FlS Refreshed</t>
  </si>
  <si>
    <t>Totem of Eruption</t>
  </si>
  <si>
    <t>Weapon Skill Book</t>
  </si>
  <si>
    <t>Orc Racial Weapon Skill</t>
  </si>
  <si>
    <t>Lightning</t>
  </si>
  <si>
    <t>Windfury</t>
  </si>
  <si>
    <t>None</t>
  </si>
  <si>
    <t>Tauren</t>
  </si>
  <si>
    <t>Weight (tps)</t>
  </si>
  <si>
    <t>Pen</t>
  </si>
  <si>
    <t>Dps dif per 1 pen</t>
  </si>
  <si>
    <t>Totem Comparisons</t>
  </si>
  <si>
    <t>ES gain w/ rage</t>
  </si>
  <si>
    <t>ES gain w/ BE</t>
  </si>
  <si>
    <t>FLS gain w/ rage</t>
  </si>
  <si>
    <t>Slot</t>
  </si>
  <si>
    <t>Item</t>
  </si>
  <si>
    <t>Enchants</t>
  </si>
  <si>
    <t>AP</t>
  </si>
  <si>
    <t xml:space="preserve">Crit </t>
  </si>
  <si>
    <t xml:space="preserve">Hit </t>
  </si>
  <si>
    <t xml:space="preserve">Haste </t>
  </si>
  <si>
    <t>Haste (Enchants)</t>
  </si>
  <si>
    <t>Int</t>
  </si>
  <si>
    <t>Spellpower</t>
  </si>
  <si>
    <t>Total Weight</t>
  </si>
  <si>
    <t>Head</t>
  </si>
  <si>
    <t>Earthshatter Crown</t>
  </si>
  <si>
    <t>(1% Haste) Arcanum of Rapidity</t>
  </si>
  <si>
    <t>Crusader Check</t>
  </si>
  <si>
    <t>Neck</t>
  </si>
  <si>
    <t>Eye of Hakkar</t>
  </si>
  <si>
    <t>(+6 Agility) Brilliant Opal Gemstone</t>
  </si>
  <si>
    <t>Subtlety Check</t>
  </si>
  <si>
    <t>Shoulders</t>
  </si>
  <si>
    <t>Earthshatter Pauldrons</t>
  </si>
  <si>
    <t>Might of the Scourge</t>
  </si>
  <si>
    <t>2% Threat Check</t>
  </si>
  <si>
    <t>Back</t>
  </si>
  <si>
    <t>Wing of the Time-Lord</t>
  </si>
  <si>
    <t>(+3 Agility) Enchant Cloak - Lesser Agility</t>
  </si>
  <si>
    <t>Chest</t>
  </si>
  <si>
    <t>Earthshatter Breastplate</t>
  </si>
  <si>
    <t>(+4 All Stats) Enchant Chest - Greater Stats</t>
  </si>
  <si>
    <t>Wrist</t>
  </si>
  <si>
    <t>Earthshatter Bracelets</t>
  </si>
  <si>
    <t>(+9 Strength) Enchant Bracer - Superior Strength</t>
  </si>
  <si>
    <t>Hands</t>
  </si>
  <si>
    <t>Flameguard Gauntlets</t>
  </si>
  <si>
    <t>(+15 Agility) Enchant Gloves - Superior Agility</t>
  </si>
  <si>
    <t>Waist</t>
  </si>
  <si>
    <t>Earthshatter Girdle</t>
  </si>
  <si>
    <t>(+10 Strength) Obsidian Belt Buckle</t>
  </si>
  <si>
    <t>Legs</t>
  </si>
  <si>
    <t>Earthshatter Leggings</t>
  </si>
  <si>
    <t>Feet</t>
  </si>
  <si>
    <t>Earthshatter Sabatons</t>
  </si>
  <si>
    <t>(+7 Agility) Enchant Boots - Greater Agility</t>
  </si>
  <si>
    <t>Ring 1</t>
  </si>
  <si>
    <t>Quick Strike Ring</t>
  </si>
  <si>
    <t>Ring 2</t>
  </si>
  <si>
    <t>Master Dragonslayer's Ring</t>
  </si>
  <si>
    <t>Trinket 1</t>
  </si>
  <si>
    <t>Blackhand's Breadth</t>
  </si>
  <si>
    <t>Trinket 2</t>
  </si>
  <si>
    <t>Heart of Dreams</t>
  </si>
  <si>
    <t>Weapon</t>
  </si>
  <si>
    <t>Severance</t>
  </si>
  <si>
    <t>(Crusader) Enchant Weapon - Crusader</t>
  </si>
  <si>
    <t>Total:</t>
  </si>
  <si>
    <t>Troll</t>
  </si>
  <si>
    <t>NAC</t>
  </si>
  <si>
    <t>embergem</t>
  </si>
  <si>
    <t>72.928 weight</t>
  </si>
  <si>
    <t>~85 weight</t>
  </si>
  <si>
    <t>t3 ele bracers</t>
  </si>
  <si>
    <t>going from t3 2pc to t2 3pc</t>
  </si>
  <si>
    <t>str</t>
  </si>
  <si>
    <t>agi</t>
  </si>
  <si>
    <t>int</t>
  </si>
  <si>
    <t>crit</t>
  </si>
  <si>
    <t>haste</t>
  </si>
  <si>
    <t xml:space="preserve"> -12.192 dps</t>
  </si>
  <si>
    <t>WoC uptime loss</t>
  </si>
  <si>
    <t>t2</t>
  </si>
  <si>
    <t xml:space="preserve"> +33.23 dps</t>
  </si>
  <si>
    <t>t2 3pc</t>
  </si>
  <si>
    <t>t3</t>
  </si>
  <si>
    <t xml:space="preserve"> -7.81 dps</t>
  </si>
  <si>
    <t>t3 2pc</t>
  </si>
  <si>
    <t xml:space="preserve"> -5.072 dps</t>
  </si>
  <si>
    <t xml:space="preserve"> -8 str</t>
  </si>
  <si>
    <t xml:space="preserve"> -3.032 dps</t>
  </si>
  <si>
    <t xml:space="preserve"> -8 agi</t>
  </si>
  <si>
    <t xml:space="preserve"> +0.805 dps</t>
  </si>
  <si>
    <t xml:space="preserve"> +5 int</t>
  </si>
  <si>
    <t>-3.448 dps</t>
  </si>
  <si>
    <t>spellstrike</t>
  </si>
  <si>
    <t>Frost shocked?</t>
  </si>
  <si>
    <t>Frostbrand</t>
  </si>
  <si>
    <t>shart</t>
  </si>
  <si>
    <t>sulfuras</t>
  </si>
  <si>
    <t>mom</t>
  </si>
  <si>
    <t>checkmate</t>
  </si>
  <si>
    <t>redeemed crusader</t>
  </si>
  <si>
    <t>severence</t>
  </si>
  <si>
    <t>neretzek</t>
  </si>
  <si>
    <t>DTC</t>
  </si>
  <si>
    <t>SP from WoC</t>
  </si>
  <si>
    <t>DPS w/ nat</t>
  </si>
  <si>
    <t>Total SP equiv</t>
  </si>
  <si>
    <t>SP equiv w/ nat</t>
  </si>
  <si>
    <t>Potent Venom</t>
  </si>
  <si>
    <t>dps</t>
  </si>
  <si>
    <t>per 1 armor pen difference</t>
  </si>
  <si>
    <t>0 armor pen</t>
  </si>
  <si>
    <t>1 armor pen</t>
  </si>
  <si>
    <t>10 armor pen</t>
  </si>
  <si>
    <t>100 armor pen</t>
  </si>
  <si>
    <t>500 armor pen</t>
  </si>
  <si>
    <t>Note: exclude nobility drape from mana pool considerations</t>
  </si>
  <si>
    <t>Note: condition spell procs on flametongue activity</t>
  </si>
  <si>
    <t>Note: account for windfury in weapon procs (and spellstrike?)</t>
  </si>
  <si>
    <t>Note: wf ele weapons functionality</t>
  </si>
  <si>
    <t>Rotation Component</t>
  </si>
  <si>
    <t>2 ES, 1 SS, 1 LS</t>
  </si>
  <si>
    <t>2FS, 2 ES, 2 SS, 2 LS</t>
  </si>
  <si>
    <t>DPS(practical)</t>
  </si>
  <si>
    <t>%ofTotal</t>
  </si>
  <si>
    <t>Old Flurry</t>
  </si>
  <si>
    <r>
      <rPr>
        <rFont val="Arial"/>
        <b/>
        <color theme="1"/>
      </rPr>
      <t>Note:</t>
    </r>
    <r>
      <rPr>
        <rFont val="Arial"/>
        <color theme="1"/>
      </rPr>
      <t xml:space="preserve"> Place stats of the items you want to compare in the 'item stats' columns, weight values will appear in the 'item weights' columns</t>
    </r>
  </si>
  <si>
    <t>Main(manual)</t>
  </si>
  <si>
    <t>Stat</t>
  </si>
  <si>
    <t>✏️ Item 1 stats</t>
  </si>
  <si>
    <t xml:space="preserve">🔒Item 1 weights </t>
  </si>
  <si>
    <t>✏️ Item 2 stats</t>
  </si>
  <si>
    <t>🔒Item 2 weights</t>
  </si>
  <si>
    <t>AP =</t>
  </si>
  <si>
    <t>Strength =</t>
  </si>
  <si>
    <t>Agility =</t>
  </si>
  <si>
    <t>Intelligence =</t>
  </si>
  <si>
    <t xml:space="preserve">Phys Crit = </t>
  </si>
  <si>
    <t>Phys Hit =</t>
  </si>
  <si>
    <t>Haste =</t>
  </si>
  <si>
    <t>Weapon Skill =</t>
  </si>
  <si>
    <t>Armor Pen =</t>
  </si>
  <si>
    <t>Spell Power =</t>
  </si>
  <si>
    <t>Nature SP =</t>
  </si>
  <si>
    <t>Fire SP =</t>
  </si>
  <si>
    <t>Spell Crit =</t>
  </si>
  <si>
    <t>Spell Hit =</t>
  </si>
  <si>
    <t>Spell Pen =</t>
  </si>
  <si>
    <t>Main(automatic)</t>
  </si>
  <si>
    <t>Spells (easy)</t>
  </si>
  <si>
    <t>SP coefficient</t>
  </si>
  <si>
    <t>AP Coefficient</t>
  </si>
  <si>
    <t>Base Damage</t>
  </si>
  <si>
    <t>Use Interval</t>
  </si>
  <si>
    <t>Relevant modifiers:</t>
  </si>
  <si>
    <t>Stormstrike 25%</t>
  </si>
  <si>
    <t>Concussion 5%</t>
  </si>
  <si>
    <t>Call of Flame 15%</t>
  </si>
  <si>
    <t>Elemental Fury 10%</t>
  </si>
  <si>
    <t>Ele Weapons (if FT used) 30%</t>
  </si>
  <si>
    <t>Curse of Elements 10%</t>
  </si>
  <si>
    <t>Improved Scorch 15%</t>
  </si>
  <si>
    <t>Nightfall 10%</t>
  </si>
  <si>
    <t>Lightning shield</t>
  </si>
  <si>
    <t>3s icd baseline ; 4s icd w/ stable shields</t>
  </si>
  <si>
    <t>Yes, consumes charge</t>
  </si>
  <si>
    <t>Yes</t>
  </si>
  <si>
    <t>No</t>
  </si>
  <si>
    <t>9s cd ; 8.5s cd w/ t2 3pc</t>
  </si>
  <si>
    <t>Earth shock</t>
  </si>
  <si>
    <t>492-520</t>
  </si>
  <si>
    <t>6s cd ; 5s cd w/ reverb ; 2 per 15s w/ reverb and using flame shock</t>
  </si>
  <si>
    <t>Flame shock</t>
  </si>
  <si>
    <t>1 per 15s</t>
  </si>
  <si>
    <t>Flame shock DoT</t>
  </si>
  <si>
    <t>13% x 5 ticks</t>
  </si>
  <si>
    <t>1.5% x 5 ticks</t>
  </si>
  <si>
    <t>82 x 5 ticks</t>
  </si>
  <si>
    <t>Searing Totem</t>
  </si>
  <si>
    <t>40-54</t>
  </si>
  <si>
    <t>2s attack rate ; 1.6s w/ imp fire totems</t>
  </si>
  <si>
    <t>Magma Totem</t>
  </si>
  <si>
    <t>2s tick rate</t>
  </si>
  <si>
    <t>Nova Totem</t>
  </si>
  <si>
    <t>413-459</t>
  </si>
  <si>
    <t>4s delay ; 2s w/ imp fire totem ; 15s cd</t>
  </si>
  <si>
    <t>Damage calculation step by step (spells)</t>
  </si>
  <si>
    <t>Notes</t>
  </si>
  <si>
    <t>Step 1:</t>
  </si>
  <si>
    <r>
      <rPr>
        <rFont val="Arial"/>
        <b/>
        <color theme="1"/>
      </rPr>
      <t>Calculate starting damage amount</t>
    </r>
    <r>
      <rPr>
        <rFont val="Arial"/>
        <color theme="1"/>
      </rPr>
      <t xml:space="preserve"> -- Base damage + (spellpower * sp coefficient) + (attack power * ap coefficient)</t>
    </r>
  </si>
  <si>
    <t xml:space="preserve">Step 2: </t>
  </si>
  <si>
    <r>
      <rPr>
        <rFont val="Arial"/>
        <b/>
        <color theme="1"/>
      </rPr>
      <t>Multiply by % damage modifiers</t>
    </r>
    <r>
      <rPr>
        <rFont val="Arial"/>
        <color theme="1"/>
      </rPr>
      <t xml:space="preserve"> -- Result of step 1 * (1+damage modifier A) * (1+damage modifier B)... etc.</t>
    </r>
  </si>
  <si>
    <t>- e.g. damage * 1.25 (stormstrike) * 1.05 (concussion) * 1.1 (ele fury)... etc.</t>
  </si>
  <si>
    <t>Step 3:</t>
  </si>
  <si>
    <r>
      <rPr>
        <rFont val="Arial"/>
        <b/>
        <color theme="1"/>
      </rPr>
      <t>Roll for spell hit</t>
    </r>
    <r>
      <rPr>
        <rFont val="Arial"/>
        <color theme="1"/>
      </rPr>
      <t xml:space="preserve"> -- Result of step 2 * MIN(0.83 + spell hit,0.99)</t>
    </r>
  </si>
  <si>
    <t>- MIN function is because there's always 1% chance to resist ; 0.83 is base resist chance of level 63 mobs, adjust for levels 60-62 as desired</t>
  </si>
  <si>
    <t>Step 4:</t>
  </si>
  <si>
    <r>
      <rPr>
        <rFont val="Arial"/>
        <b/>
        <color theme="1"/>
      </rPr>
      <t>Roll for spell crit</t>
    </r>
    <r>
      <rPr>
        <rFont val="Arial"/>
        <b val="0"/>
        <color theme="1"/>
      </rPr>
      <t xml:space="preserve"> -- (Result of step 3 * IF(ele fury active, 2, 1.5) * spell crit chance) + (Result of step 3 * (1 - spell crit chance))</t>
    </r>
  </si>
  <si>
    <t>- Most of non-class-based damage sources wont get bonus crit dmg from ele fury ; lightning shield cannot crit ; dots cannot crit ; fire totems can crit</t>
  </si>
  <si>
    <t>Step 5:</t>
  </si>
  <si>
    <r>
      <rPr>
        <rFont val="Arial"/>
        <b/>
        <color theme="1"/>
      </rPr>
      <t xml:space="preserve">Apply magic res -- </t>
    </r>
    <r>
      <rPr>
        <rFont val="Arial"/>
        <color theme="1"/>
      </rPr>
      <t>(Result of step 4 * (1 - ((relevant magic school res * 0.0025) + (0.02 * level difference)))</t>
    </r>
  </si>
  <si>
    <t>- Level difference modifier is unchangeable, acts as an amount of magic shool res equivalent to roughly 6% avg dmg mitigation against level 63 mobs</t>
  </si>
  <si>
    <t>Step 6:</t>
  </si>
  <si>
    <r>
      <rPr>
        <rFont val="Arial"/>
        <b/>
        <color theme="1"/>
      </rPr>
      <t xml:space="preserve">Divide by expected use interval </t>
    </r>
    <r>
      <rPr>
        <rFont val="Arial"/>
        <color theme="1"/>
      </rPr>
      <t>-- Result of step 5 / expected use interval</t>
    </r>
  </si>
  <si>
    <t>- Will need to approach things like using flame shock and earth shock together, as well as potential fire totem weaving, differently</t>
  </si>
  <si>
    <t>Done -</t>
  </si>
  <si>
    <t>You now have a theoretical approximation of individual spell dps (or combo skill dps in the case of shocks/fire totems)</t>
  </si>
  <si>
    <t>Shocks:</t>
  </si>
  <si>
    <t>I calculate as a 15s period, which will have 1 full flame shock and 2 full earth shocks per 15s period</t>
  </si>
  <si>
    <t>Totem weaving:</t>
  </si>
  <si>
    <t>Consider a 15s period as the base unit ; 1 nova totem + (e.g. searing damage * ((15 - Nova Delay) / (searing attack rate))</t>
  </si>
  <si>
    <t>Example: Empowered Lightning Shield</t>
  </si>
  <si>
    <t>assuming 500 sp ; 1500 attack power ; no t2 bonus ; nightfall active ; ele deva active for 12% spell hit total ; 15 nature resistance</t>
  </si>
  <si>
    <t>198 + (500 * 0.27) + (1500 * 0.25) =</t>
  </si>
  <si>
    <t>708 * 1.25 (stormstrike) * 1.05 (concussion) * 1.1 (ele fury) * 1.1 (nightfall) =</t>
  </si>
  <si>
    <t>1124.39 * (0.83 + 0.12) =</t>
  </si>
  <si>
    <t>(1068.17 * 2 * 0) + (1068.17 * (1 - 0)) =</t>
  </si>
  <si>
    <t>[cant crit so crit chance set to 0%]</t>
  </si>
  <si>
    <t>1068.17 * (1 - ((15 * 0.0025) + (0.02 * 3)) =</t>
  </si>
  <si>
    <t>964.03 / 9s =</t>
  </si>
  <si>
    <t>NOTE:</t>
  </si>
  <si>
    <t>% damage modifiers often work on a case by case basis, for example: flametongue benefits from elemental weapons 30%, ele fury 10%, and call of flame 15%, but not concussion 5%</t>
  </si>
  <si>
    <t>ATTACKS WORK SUBSTANTIALLY DIFFERENTLY FROM SPELLS, THEY ARE A NIGHTMARE, SEE NEXT SHEET</t>
  </si>
  <si>
    <t>Base min dmg</t>
  </si>
  <si>
    <t>Base max dmg</t>
  </si>
  <si>
    <t>Lightning Strike</t>
  </si>
  <si>
    <t>Flame Shock</t>
  </si>
  <si>
    <t>FlS DoT</t>
  </si>
  <si>
    <t>Fire Nova Totem</t>
  </si>
  <si>
    <t>Frost Shock</t>
  </si>
  <si>
    <t>(no sp no talents)</t>
  </si>
  <si>
    <t>@ 1.3s</t>
  </si>
  <si>
    <t>@ 2.8s</t>
  </si>
  <si>
    <t>@ 3.2s</t>
  </si>
  <si>
    <t>@ 3.7s</t>
  </si>
  <si>
    <t>103-104</t>
  </si>
  <si>
    <t>@ 0 sp</t>
  </si>
  <si>
    <t>@ 82 sp</t>
  </si>
  <si>
    <t>@ 152 sp</t>
  </si>
  <si>
    <t>@ 362 sp</t>
  </si>
  <si>
    <t>@ 444 sp</t>
  </si>
  <si>
    <t>Coefficient</t>
  </si>
  <si>
    <t>Searing max rank</t>
  </si>
  <si>
    <t>53-67</t>
  </si>
  <si>
    <t>65-79</t>
  </si>
  <si>
    <t>Searing rank 2</t>
  </si>
  <si>
    <t>13-17</t>
  </si>
  <si>
    <t>26-30</t>
  </si>
  <si>
    <t>38-42</t>
  </si>
  <si>
    <t>73-77</t>
  </si>
  <si>
    <t>87-91</t>
  </si>
  <si>
    <t>~16.5%</t>
  </si>
  <si>
    <t>@ 154 sp</t>
  </si>
  <si>
    <t>@ 307 sp</t>
  </si>
  <si>
    <t>@ 368 sp</t>
  </si>
  <si>
    <t>8.5% AP coefficient</t>
  </si>
  <si>
    <t>DoT tick</t>
  </si>
  <si>
    <t>1.5% AP coefficient</t>
  </si>
  <si>
    <t>FlS (r4)</t>
  </si>
  <si>
    <t>~21%</t>
  </si>
  <si>
    <t>DoT tick (r4)</t>
  </si>
  <si>
    <t>~9.75%</t>
  </si>
  <si>
    <t>Earth Shock (r4)</t>
  </si>
  <si>
    <t>126-134</t>
  </si>
  <si>
    <t>157-165</t>
  </si>
  <si>
    <t>183-191</t>
  </si>
  <si>
    <t>239-245</t>
  </si>
  <si>
    <t>263-270</t>
  </si>
  <si>
    <t>~37%</t>
  </si>
  <si>
    <t>Nova Totem (r2)</t>
  </si>
  <si>
    <t>110-124</t>
  </si>
  <si>
    <t>124-135</t>
  </si>
  <si>
    <t>132-144</t>
  </si>
  <si>
    <t>153-167</t>
  </si>
  <si>
    <t>164-176</t>
  </si>
  <si>
    <t>~14.5%</t>
  </si>
  <si>
    <t>Frost Shock (r1)</t>
  </si>
  <si>
    <t>96-101</t>
  </si>
  <si>
    <t>126-131</t>
  </si>
  <si>
    <t>152-158</t>
  </si>
  <si>
    <t>208-214</t>
  </si>
  <si>
    <t>233-238</t>
  </si>
  <si>
    <t>~36%</t>
  </si>
  <si>
    <t>LB (r4)</t>
  </si>
  <si>
    <t>88-100</t>
  </si>
  <si>
    <t>158-170</t>
  </si>
  <si>
    <t>CL (r1)</t>
  </si>
  <si>
    <t>200-227</t>
  </si>
  <si>
    <t>259-281</t>
  </si>
  <si>
    <t>MB (r1)</t>
  </si>
  <si>
    <t>61-73</t>
  </si>
  <si>
    <t>107-119</t>
  </si>
  <si>
    <t>Time:</t>
  </si>
  <si>
    <t>Time</t>
  </si>
  <si>
    <t>Tank Threat</t>
  </si>
  <si>
    <t>DPS threat(avg)</t>
  </si>
  <si>
    <t>DPS threat(max)</t>
  </si>
  <si>
    <t>DPSavg+tranq</t>
  </si>
  <si>
    <t>DPSmax+tranq</t>
  </si>
  <si>
    <t>Difference1</t>
  </si>
  <si>
    <t>Difference2</t>
  </si>
  <si>
    <t>Wait time:</t>
  </si>
  <si>
    <t>Tranq mod:</t>
  </si>
  <si>
    <t>Tank TPS</t>
  </si>
  <si>
    <t>Tank instathreat</t>
  </si>
  <si>
    <t>DPS TPS</t>
  </si>
  <si>
    <t>DPS instathreat</t>
  </si>
  <si>
    <t>DPS TPS (tranq)</t>
  </si>
  <si>
    <t>DPS instathreat (tranq)</t>
  </si>
  <si>
    <t>Crit %</t>
  </si>
  <si>
    <t>Hit %</t>
  </si>
  <si>
    <t>Stormhowl Crown</t>
  </si>
  <si>
    <t>Stormcaller's Crown</t>
  </si>
  <si>
    <t>Crown of Ten Storms</t>
  </si>
  <si>
    <t>Crown of Destruction</t>
  </si>
  <si>
    <t>Earthfury Crown</t>
  </si>
  <si>
    <t>Blackstone Crown</t>
  </si>
  <si>
    <t>Skyfury Helm</t>
  </si>
  <si>
    <t>Thornweave Mask</t>
  </si>
  <si>
    <t>Eye of Rend</t>
  </si>
  <si>
    <t>Stormhowl Helmet (ele)</t>
  </si>
  <si>
    <t>Choker of the Stormhowl</t>
  </si>
  <si>
    <t>Choker of Terminal Arcanum</t>
  </si>
  <si>
    <t>Stormrage's Talisman of Seething</t>
  </si>
  <si>
    <t>Barbed Choker</t>
  </si>
  <si>
    <t>Master Dragonslayer's Medallion</t>
  </si>
  <si>
    <t>Onyxia Tooth Pendant</t>
  </si>
  <si>
    <t>Medallion of Steadfast Migth</t>
  </si>
  <si>
    <t>Mark of Fordring</t>
  </si>
  <si>
    <t>Crocolisk Tooth Necklace</t>
  </si>
  <si>
    <t>Pendant of Celerity</t>
  </si>
  <si>
    <t>Pendant of the Stormhowl (ele)</t>
  </si>
  <si>
    <t>Choker of the Emerald Lord</t>
  </si>
  <si>
    <t>Stormhowl Pauldrons</t>
  </si>
  <si>
    <t>Stormcaller's Pauldrons</t>
  </si>
  <si>
    <t>Mantle of Wicked Revenge</t>
  </si>
  <si>
    <t>Pauldrons of Ten Storms</t>
  </si>
  <si>
    <t>Earthfury Pauldrons</t>
  </si>
  <si>
    <t>Shoulderpads of True Flight</t>
  </si>
  <si>
    <t>Shoulderguards of the Defiler</t>
  </si>
  <si>
    <t>Stormshroud Shoulders</t>
  </si>
  <si>
    <t>Pauldrons of Elusiveness</t>
  </si>
  <si>
    <t>Black Dragonscale Shoulders</t>
  </si>
  <si>
    <t>Runic Stone Shoulders</t>
  </si>
  <si>
    <t>Mantle of the Drifting Stars</t>
  </si>
  <si>
    <t>Felforged Nathrezan Veil</t>
  </si>
  <si>
    <t>Cloak of the Bloody Ravager</t>
  </si>
  <si>
    <t>Shroud of Dominion</t>
  </si>
  <si>
    <t>Shawl of Haunted Memories</t>
  </si>
  <si>
    <t>Cloak of the Fallen God</t>
  </si>
  <si>
    <t>Cloak of Draconic Might</t>
  </si>
  <si>
    <t>Cloak of the Shrouded Mists</t>
  </si>
  <si>
    <t>Royal Guard Chain Cloak</t>
  </si>
  <si>
    <t>Cape of the Black Baron</t>
  </si>
  <si>
    <t>Cloak of the Necropolis</t>
  </si>
  <si>
    <t>Kum'isha's Tattered Drape</t>
  </si>
  <si>
    <t>Chain-Cloak of the Rookguard</t>
  </si>
  <si>
    <t>Stormhowl Breastplate</t>
  </si>
  <si>
    <t>Stormcaller's Breastplate</t>
  </si>
  <si>
    <t>Breastplate of Ten Storms</t>
  </si>
  <si>
    <t>Breastplate of Earthen Might</t>
  </si>
  <si>
    <t>Earthfury Breastplate</t>
  </si>
  <si>
    <t>Savage Gladiator Chain</t>
  </si>
  <si>
    <t>Time-blackened Chestpiece</t>
  </si>
  <si>
    <t>Black Dragonscale Breastplate</t>
  </si>
  <si>
    <t>Hateforge Cuirass</t>
  </si>
  <si>
    <t>Stormhowl Raiments (ele)</t>
  </si>
  <si>
    <t>Qiraji Execution Bracers</t>
  </si>
  <si>
    <t>Sanctum Bark Wraps</t>
  </si>
  <si>
    <t>Bracelets of Ten Storms</t>
  </si>
  <si>
    <t>Wristguards of True Flight</t>
  </si>
  <si>
    <t>Earthfury Bracelets</t>
  </si>
  <si>
    <t>Wristguards of Stability</t>
  </si>
  <si>
    <t>Blackmist Armguards</t>
  </si>
  <si>
    <t>Cuffs of Nordanaar</t>
  </si>
  <si>
    <t>Bracers of the Stone Princess</t>
  </si>
  <si>
    <t>Embergem Cuffs</t>
  </si>
  <si>
    <t>Handwraps of Dead Winds</t>
  </si>
  <si>
    <t>Earthshatter Fists</t>
  </si>
  <si>
    <t>Carapace Handguards</t>
  </si>
  <si>
    <t>Fists of Ten Storms</t>
  </si>
  <si>
    <t>Earthfury Fists</t>
  </si>
  <si>
    <t>Stormshroud Gloves</t>
  </si>
  <si>
    <t>Gargoyle Slashers</t>
  </si>
  <si>
    <t>Voone's Vice Grips</t>
  </si>
  <si>
    <t>Devilsaur Gauntlets</t>
  </si>
  <si>
    <t>Gauntlets of Kalimdor</t>
  </si>
  <si>
    <t>Sash of the Grand Betrayal</t>
  </si>
  <si>
    <t>Cloverlink Belt</t>
  </si>
  <si>
    <t>Therazane's Link</t>
  </si>
  <si>
    <t>Girdle of Ten Storms</t>
  </si>
  <si>
    <t>Earthfury Girdle</t>
  </si>
  <si>
    <t>Marksman's Girdle</t>
  </si>
  <si>
    <t>Primalist's Linked Waistguard</t>
  </si>
  <si>
    <t>Stormhowl Leggings</t>
  </si>
  <si>
    <t>Earthquake Leggings</t>
  </si>
  <si>
    <t>Stormcaller's Leggings</t>
  </si>
  <si>
    <t>Scaled Sand Reaver Leggings</t>
  </si>
  <si>
    <t>Ancient Jade Leggings</t>
  </si>
  <si>
    <t>Leggings of Ten Storms</t>
  </si>
  <si>
    <t>Earthfury Leggings</t>
  </si>
  <si>
    <t>Legguards of the Chromatic Defier</t>
  </si>
  <si>
    <t>Leggings of Alacrity</t>
  </si>
  <si>
    <t>Legplates of the Raider</t>
  </si>
  <si>
    <t>Deathrune Leggings</t>
  </si>
  <si>
    <t>Black Dragonscale Leggings</t>
  </si>
  <si>
    <t>Devilsaur Leggings</t>
  </si>
  <si>
    <t>Hateforge Leggings</t>
  </si>
  <si>
    <t>Stormhowl Sabatons</t>
  </si>
  <si>
    <t>Boots of Displacement</t>
  </si>
  <si>
    <t>Stormcaller's Sabatons</t>
  </si>
  <si>
    <t>Wormhide Boots</t>
  </si>
  <si>
    <t>Sabatons of Ten Storms</t>
  </si>
  <si>
    <t>Earthfury Sabatons</t>
  </si>
  <si>
    <t>Greaves of the Elusive</t>
  </si>
  <si>
    <t>Miasma Walkers</t>
  </si>
  <si>
    <t>Boots of Flowing Sands</t>
  </si>
  <si>
    <t>Black Dragonscale Boots</t>
  </si>
  <si>
    <t>Hateforge Boots</t>
  </si>
  <si>
    <t>Rings</t>
  </si>
  <si>
    <t>Mephistroth's Cunning</t>
  </si>
  <si>
    <t>Brand of Karazhan</t>
  </si>
  <si>
    <t>Signet of the Earthshatterer</t>
  </si>
  <si>
    <t>Band of Unnatural Forces</t>
  </si>
  <si>
    <t>Ring of the Qiraji Fury</t>
  </si>
  <si>
    <t>Signet Ring of the Bronze Dragonflight (Tank)</t>
  </si>
  <si>
    <t>Signet Ring of the Bronze Dragonflight (DPS)</t>
  </si>
  <si>
    <t>Ring of Emperor Vek'lor</t>
  </si>
  <si>
    <t>Angelista's Touch</t>
  </si>
  <si>
    <t>Archimtiros's Ring of Reckoning</t>
  </si>
  <si>
    <t>Circle of Applied Force</t>
  </si>
  <si>
    <t>Seal of the Gurubashi Berserker</t>
  </si>
  <si>
    <t>Nethershard Band</t>
  </si>
  <si>
    <t>Painweaver Band</t>
  </si>
  <si>
    <t>Spireblade Band</t>
  </si>
  <si>
    <t>Tarnished Elven Ring</t>
  </si>
  <si>
    <t>Blackstone Ring</t>
  </si>
  <si>
    <t>Ring of the Fallen God</t>
  </si>
  <si>
    <t>Felforged Nathrezan Circlet</t>
  </si>
  <si>
    <t>Trinkets</t>
  </si>
  <si>
    <t>Shieldrender Talisman</t>
  </si>
  <si>
    <t>Mark of the Champion</t>
  </si>
  <si>
    <t>Badge of the Swarmguard</t>
  </si>
  <si>
    <t>Corrosive Core</t>
  </si>
  <si>
    <t>Restrained Essence of Sapphiron</t>
  </si>
  <si>
    <t>Neltharion's Tear</t>
  </si>
  <si>
    <t>Eye of Diminution</t>
  </si>
  <si>
    <t>Weapons</t>
  </si>
  <si>
    <t>Shar'tateth, the Shattered Edge</t>
  </si>
  <si>
    <t>Checkmate</t>
  </si>
  <si>
    <t>Might of Menethil</t>
  </si>
  <si>
    <t>Sulfuras, Hand of Ragnaros</t>
  </si>
  <si>
    <t>Dark Edge of Insanity</t>
  </si>
  <si>
    <t>Neretzek</t>
  </si>
  <si>
    <t>Aspect of Seradane</t>
  </si>
  <si>
    <t>Drake Talon Cleaver</t>
  </si>
  <si>
    <t>Fist of the Forgotten Order</t>
  </si>
  <si>
    <t>Spinal Reaper</t>
  </si>
  <si>
    <t>The Unstoppable Force</t>
  </si>
  <si>
    <t>Boneshatter Maul</t>
  </si>
  <si>
    <t>Arcanite Reaper</t>
  </si>
  <si>
    <t>Dreadforge Retaliator</t>
  </si>
  <si>
    <t>Thunderfall, Stormhammer of the Chief Thane</t>
  </si>
  <si>
    <t>Forgotten Raven's Mallet</t>
  </si>
  <si>
    <t>The Castigator</t>
  </si>
  <si>
    <t>Hatchet of Sundered Bone</t>
  </si>
  <si>
    <t>Remnants of an Old God</t>
  </si>
  <si>
    <t>Blessed Qiraji War Hammer</t>
  </si>
  <si>
    <t>Blessed Qiraji War Axe</t>
  </si>
  <si>
    <t>Mallet of the Awakening</t>
  </si>
  <si>
    <t>Crul'shorukh, Edge of Chaos</t>
  </si>
  <si>
    <t>Spineshatter</t>
  </si>
  <si>
    <t>Claw of the Black Drake</t>
  </si>
  <si>
    <t>Doom's Edge</t>
  </si>
  <si>
    <t>Deathbringer</t>
  </si>
  <si>
    <t>Core Hound Tooth</t>
  </si>
  <si>
    <t>Hit</t>
  </si>
  <si>
    <t>Head/Leg</t>
  </si>
  <si>
    <t>(+8 Strength) Lesser Arcanum of Voracity</t>
  </si>
  <si>
    <t>(+8 Agility) Lesser Arcanum of Voracity</t>
  </si>
  <si>
    <t>(+12 SP) Arcanum of Focus</t>
  </si>
  <si>
    <t>(+9 SP) Enchanted Armor Kit</t>
  </si>
  <si>
    <t>(ZG) Vodousaint's Vigilant Embrace</t>
  </si>
  <si>
    <t>Shoulder</t>
  </si>
  <si>
    <t>Power of the Scourge</t>
  </si>
  <si>
    <t>(2% Haste) Sigil of Quickness</t>
  </si>
  <si>
    <t>(40 ArP) Sigil of Penetration</t>
  </si>
  <si>
    <t>(ZG AP) Zandalar Signet of Might</t>
  </si>
  <si>
    <t>(ZG SP) Zandalar Signet of Mojo</t>
  </si>
  <si>
    <t>(-2% Threat) Enchant Cloak - Subtlety</t>
  </si>
  <si>
    <t>(+3 All Stats) Enchant Chest - Stats</t>
  </si>
  <si>
    <t>Wrists</t>
  </si>
  <si>
    <t>(+7 Strength) Enchant Bracer - Greater Strength</t>
  </si>
  <si>
    <t>(+7 Agility) Enchant Bracer - Greater Agility</t>
  </si>
  <si>
    <t>(+12 SP) Enchant Bracer - Spell Power</t>
  </si>
  <si>
    <t>(+9 Str) Enchant Gloves - Major Strength</t>
  </si>
  <si>
    <t>(+20 Nature SP) Enchant Gloves - Nature Power</t>
  </si>
  <si>
    <t>(+20 Fire SP) Enchant Gloves - Fire Power</t>
  </si>
  <si>
    <t>(1% Haste) Enchant Gloves - Minor Haste</t>
  </si>
  <si>
    <t>(+10 Intelligence) Dreamsteel Belt Buckle</t>
  </si>
  <si>
    <t>(+9 Fire SP) Dragonscale Belt Buckle</t>
  </si>
  <si>
    <t>(+6 Agility) Mithril Belt Buckle</t>
  </si>
  <si>
    <t>Jewelry</t>
  </si>
  <si>
    <t>(+3 All Stats) Stunning Imperial Gemstone</t>
  </si>
  <si>
    <t>(+6 Strength) Azerothian Ruby Gemstone</t>
  </si>
  <si>
    <t>(+30 SP) Enchant Weapon - Spell Power</t>
  </si>
  <si>
    <t>(+25 Agility) Enchant 2H Weapon - Agility</t>
  </si>
  <si>
    <t>(+15 Agility) Enchant Weapon - Agility</t>
  </si>
  <si>
    <t>(+15 Strength) Enchant Weapon - Strength</t>
  </si>
  <si>
    <t>Minimum Damage</t>
  </si>
  <si>
    <t>Weapon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</si>
</sst>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00"/>
    <numFmt numFmtId="165" formatCode="#,##0.000"/>
    <numFmt numFmtId="166" formatCode="#,##0.000[$ dps]"/>
    <numFmt numFmtId="167" formatCode="#,##0.00[$  ap]"/>
    <numFmt numFmtId="168" formatCode="#,##0.00[$  sp]"/>
    <numFmt numFmtId="169" formatCode="#,##0.000000000000"/>
    <numFmt numFmtId="170" formatCode="###0"/>
    <numFmt numFmtId="171" formatCode="0;-0;;@"/>
    <numFmt numFmtId="172" formatCode="0.0000%"/>
    <numFmt numFmtId="173" formatCode="#,##0.00[$ tps]"/>
    <numFmt numFmtId="174" formatCode="0.000000"/>
    <numFmt numFmtId="175" formatCode="0%;-0%;;@"/>
    <numFmt numFmtId="176" formatCode="0.00000"/>
    <numFmt numFmtId="177" formatCode="0;-0;&quot;0&quot;"/>
  </numFmts>
  <fonts count="3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u/>
      <color theme="1"/>
      <name val="Arial"/>
      <scheme val="minor"/>
    </font>
    <font>
      <b/>
      <color rgb="FF000000"/>
      <name val="Arial"/>
      <scheme val="minor"/>
    </font>
    <font>
      <b/>
      <sz val="11.0"/>
      <color theme="1"/>
      <name val="Calibri"/>
    </font>
    <font>
      <b/>
      <i/>
      <sz val="11.0"/>
      <color rgb="FFB7B7B7"/>
      <name val="Calibri"/>
    </font>
    <font>
      <b/>
      <sz val="11.0"/>
      <color rgb="FFB7B7B7"/>
      <name val="Calibri"/>
    </font>
    <font>
      <b/>
      <color rgb="FF000000"/>
      <name val="Calibri"/>
    </font>
    <font>
      <b/>
      <i/>
      <sz val="11.0"/>
      <color rgb="FF000000"/>
      <name val="Calibri"/>
    </font>
    <font>
      <color rgb="FFB7B7B7"/>
      <name val="Arial"/>
      <scheme val="minor"/>
    </font>
    <font>
      <color rgb="FFB7B7B7"/>
      <name val="Arial"/>
    </font>
    <font>
      <color rgb="FFCCCCCC"/>
      <name val="Arial"/>
      <scheme val="minor"/>
    </font>
    <font>
      <color rgb="FFCCCCCC"/>
      <name val="Arial"/>
    </font>
    <font>
      <b/>
      <color rgb="FF000000"/>
      <name val="Arial"/>
    </font>
    <font>
      <b/>
      <color theme="1"/>
      <name val="Calibri"/>
    </font>
    <font>
      <b/>
      <i/>
      <sz val="11.0"/>
      <color theme="1"/>
      <name val="Calibri"/>
    </font>
    <font>
      <sz val="8.0"/>
      <color theme="1"/>
      <name val="Arial"/>
      <scheme val="minor"/>
    </font>
    <font>
      <color rgb="FF000000"/>
      <name val="Arial"/>
      <scheme val="minor"/>
    </font>
    <font>
      <strike/>
      <sz val="8.0"/>
      <color theme="1"/>
      <name val="Arial"/>
      <scheme val="minor"/>
    </font>
    <font>
      <strike/>
      <color rgb="FFB7B7B7"/>
      <name val="Arial"/>
      <scheme val="minor"/>
    </font>
    <font>
      <strike/>
      <color theme="1"/>
      <name val="Arial"/>
      <scheme val="minor"/>
    </font>
    <font>
      <strike/>
      <color rgb="FF000000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Calibri"/>
    </font>
    <font>
      <sz val="11.0"/>
      <color rgb="FFB7B7B7"/>
      <name val="Calibri"/>
    </font>
    <font>
      <color rgb="FF000000"/>
      <name val="Calibri"/>
    </font>
    <font>
      <strike/>
      <color theme="1"/>
      <name val="Calibri"/>
    </font>
    <font>
      <i/>
      <strike/>
      <sz val="11.0"/>
      <color rgb="FF000000"/>
      <name val="Calibri"/>
    </font>
    <font>
      <b/>
      <strike/>
      <color theme="1"/>
      <name val="Calibri"/>
    </font>
    <font>
      <b/>
      <i/>
      <strike/>
      <sz val="11.0"/>
      <color rgb="FF000000"/>
      <name val="Calibri"/>
    </font>
    <font>
      <b/>
      <u/>
      <color theme="1"/>
      <name val="Arial"/>
      <scheme val="minor"/>
    </font>
    <font>
      <color rgb="FF434343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</fills>
  <borders count="14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right" vertical="bottom"/>
    </xf>
    <xf borderId="0" fillId="4" fontId="4" numFmtId="2" xfId="0" applyAlignment="1" applyFill="1" applyFont="1" applyNumberFormat="1">
      <alignment horizontal="center" vertical="bottom"/>
    </xf>
    <xf borderId="0" fillId="4" fontId="4" numFmtId="10" xfId="0" applyAlignment="1" applyFont="1" applyNumberFormat="1">
      <alignment horizontal="center" vertical="bottom"/>
    </xf>
    <xf borderId="0" fillId="4" fontId="2" numFmtId="10" xfId="0" applyFont="1" applyNumberFormat="1"/>
    <xf borderId="0" fillId="0" fontId="2" numFmtId="10" xfId="0" applyFont="1" applyNumberFormat="1"/>
    <xf borderId="0" fillId="3" fontId="4" numFmtId="0" xfId="0" applyAlignment="1" applyFont="1">
      <alignment horizontal="right" readingOrder="0" vertical="bottom"/>
    </xf>
    <xf borderId="0" fillId="4" fontId="4" numFmtId="0" xfId="0" applyAlignment="1" applyFont="1">
      <alignment horizontal="center" vertical="bottom"/>
    </xf>
    <xf borderId="0" fillId="0" fontId="2" numFmtId="10" xfId="0" applyAlignment="1" applyFont="1" applyNumberFormat="1">
      <alignment readingOrder="0"/>
    </xf>
    <xf borderId="0" fillId="2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right" vertical="bottom"/>
    </xf>
    <xf borderId="0" fillId="4" fontId="4" numFmtId="0" xfId="0" applyAlignment="1" applyFont="1">
      <alignment horizontal="center" vertical="bottom"/>
    </xf>
    <xf borderId="0" fillId="3" fontId="4" numFmtId="10" xfId="0" applyAlignment="1" applyFont="1" applyNumberFormat="1">
      <alignment horizontal="center" readingOrder="0" vertical="bottom"/>
    </xf>
    <xf borderId="0" fillId="4" fontId="4" numFmtId="10" xfId="0" applyAlignment="1" applyFont="1" applyNumberForma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4" fontId="4" numFmtId="4" xfId="0" applyAlignment="1" applyFont="1" applyNumberFormat="1">
      <alignment horizontal="center" vertical="bottom"/>
    </xf>
    <xf borderId="0" fillId="3" fontId="4" numFmtId="4" xfId="0" applyAlignment="1" applyFont="1" applyNumberFormat="1">
      <alignment horizontal="center" readingOrder="0" vertical="bottom"/>
    </xf>
    <xf borderId="0" fillId="4" fontId="4" numFmtId="9" xfId="0" applyAlignment="1" applyFont="1" applyNumberFormat="1">
      <alignment horizontal="center" vertical="bottom"/>
    </xf>
    <xf borderId="0" fillId="2" fontId="2" numFmtId="0" xfId="0" applyAlignment="1" applyFont="1">
      <alignment readingOrder="0" vertical="bottom"/>
    </xf>
    <xf borderId="0" fillId="4" fontId="2" numFmtId="10" xfId="0" applyAlignment="1" applyFont="1" applyNumberFormat="1">
      <alignment horizontal="center" vertical="bottom"/>
    </xf>
    <xf borderId="0" fillId="3" fontId="4" numFmtId="9" xfId="0" applyAlignment="1" applyFont="1" applyNumberForma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4" fontId="2" numFmtId="10" xfId="0" applyAlignment="1" applyFont="1" applyNumberFormat="1">
      <alignment horizontal="center"/>
    </xf>
    <xf borderId="0" fillId="4" fontId="2" numFmtId="2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2" fontId="2" numFmtId="0" xfId="0" applyFont="1"/>
    <xf borderId="0" fillId="0" fontId="6" numFmtId="0" xfId="0" applyAlignment="1" applyFont="1">
      <alignment horizontal="right" readingOrder="0"/>
    </xf>
    <xf borderId="0" fillId="5" fontId="7" numFmtId="164" xfId="0" applyFill="1" applyFont="1" applyNumberFormat="1"/>
    <xf borderId="0" fillId="0" fontId="2" numFmtId="165" xfId="0" applyFont="1" applyNumberFormat="1"/>
    <xf borderId="0" fillId="5" fontId="7" numFmtId="164" xfId="0" applyAlignment="1" applyFont="1" applyNumberFormat="1">
      <alignment readingOrder="0"/>
    </xf>
    <xf borderId="0" fillId="4" fontId="2" numFmtId="10" xfId="0" applyAlignment="1" applyFont="1" applyNumberForma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3" fillId="6" fontId="1" numFmtId="0" xfId="0" applyAlignment="1" applyBorder="1" applyFont="1">
      <alignment readingOrder="0"/>
    </xf>
    <xf borderId="4" fillId="6" fontId="1" numFmtId="0" xfId="0" applyAlignment="1" applyBorder="1" applyFont="1">
      <alignment horizontal="right" readingOrder="0"/>
    </xf>
    <xf borderId="0" fillId="4" fontId="2" numFmtId="166" xfId="0" applyFont="1" applyNumberFormat="1"/>
    <xf borderId="0" fillId="4" fontId="1" numFmtId="167" xfId="0" applyFont="1" applyNumberFormat="1"/>
    <xf borderId="5" fillId="4" fontId="2" numFmtId="168" xfId="0" applyBorder="1" applyFont="1" applyNumberFormat="1"/>
    <xf borderId="0" fillId="3" fontId="3" numFmtId="0" xfId="0" applyAlignment="1" applyFont="1">
      <alignment horizontal="center" readingOrder="0" vertical="bottom"/>
    </xf>
    <xf borderId="0" fillId="4" fontId="2" numFmtId="167" xfId="0" applyFont="1" applyNumberFormat="1"/>
    <xf borderId="0" fillId="0" fontId="2" numFmtId="0" xfId="0" applyFont="1"/>
    <xf borderId="0" fillId="2" fontId="4" numFmtId="10" xfId="0" applyAlignment="1" applyFont="1" applyNumberFormat="1">
      <alignment horizontal="center" vertical="bottom"/>
    </xf>
    <xf borderId="0" fillId="0" fontId="2" numFmtId="169" xfId="0" applyFont="1" applyNumberFormat="1"/>
    <xf borderId="5" fillId="4" fontId="1" numFmtId="168" xfId="0" applyBorder="1" applyFont="1" applyNumberFormat="1"/>
    <xf borderId="6" fillId="6" fontId="1" numFmtId="0" xfId="0" applyAlignment="1" applyBorder="1" applyFont="1">
      <alignment horizontal="right" readingOrder="0"/>
    </xf>
    <xf borderId="7" fillId="4" fontId="2" numFmtId="166" xfId="0" applyBorder="1" applyFont="1" applyNumberFormat="1"/>
    <xf borderId="7" fillId="4" fontId="2" numFmtId="167" xfId="0" applyBorder="1" applyFont="1" applyNumberFormat="1"/>
    <xf borderId="8" fillId="4" fontId="2" numFmtId="168" xfId="0" applyBorder="1" applyFont="1" applyNumberFormat="1"/>
    <xf borderId="9" fillId="6" fontId="8" numFmtId="0" xfId="0" applyAlignment="1" applyBorder="1" applyFont="1">
      <alignment horizontal="center" vertical="bottom"/>
    </xf>
    <xf borderId="1" fillId="6" fontId="9" numFmtId="0" xfId="0" applyAlignment="1" applyBorder="1" applyFont="1">
      <alignment horizontal="center" readingOrder="0" vertical="bottom"/>
    </xf>
    <xf borderId="1" fillId="6" fontId="8" numFmtId="4" xfId="0" applyAlignment="1" applyBorder="1" applyFont="1" applyNumberFormat="1">
      <alignment horizontal="center" readingOrder="0" vertical="bottom"/>
    </xf>
    <xf borderId="1" fillId="6" fontId="10" numFmtId="0" xfId="0" applyAlignment="1" applyBorder="1" applyFont="1">
      <alignment horizontal="center" readingOrder="0" vertical="bottom"/>
    </xf>
    <xf borderId="1" fillId="6" fontId="8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2" fontId="13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  <xf borderId="0" fillId="0" fontId="2" numFmtId="4" xfId="0" applyAlignment="1" applyFont="1" applyNumberFormat="1">
      <alignment horizontal="center"/>
    </xf>
    <xf borderId="0" fillId="2" fontId="14" numFmtId="10" xfId="0" applyAlignment="1" applyFont="1" applyNumberForma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4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readingOrder="0"/>
    </xf>
    <xf borderId="0" fillId="2" fontId="14" numFmtId="9" xfId="0" applyAlignment="1" applyFont="1" applyNumberFormat="1">
      <alignment horizontal="center" vertical="bottom"/>
    </xf>
    <xf borderId="0" fillId="2" fontId="13" numFmtId="9" xfId="0" applyAlignment="1" applyFont="1" applyNumberFormat="1">
      <alignment horizontal="center" readingOrder="0"/>
    </xf>
    <xf borderId="0" fillId="2" fontId="13" numFmtId="0" xfId="0" applyAlignment="1" applyFont="1">
      <alignment horizontal="center" readingOrder="0"/>
    </xf>
    <xf borderId="0" fillId="2" fontId="13" numFmtId="10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center" vertical="bottom"/>
    </xf>
    <xf borderId="0" fillId="0" fontId="2" numFmtId="0" xfId="0" applyFont="1"/>
    <xf borderId="0" fillId="2" fontId="4" numFmtId="0" xfId="0" applyAlignment="1" applyFont="1">
      <alignment vertical="bottom"/>
    </xf>
    <xf borderId="0" fillId="2" fontId="1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3" numFmtId="0" xfId="0" applyFont="1"/>
    <xf borderId="0" fillId="2" fontId="16" numFmtId="0" xfId="0" applyAlignment="1" applyFont="1">
      <alignment vertical="bottom"/>
    </xf>
    <xf borderId="0" fillId="2" fontId="15" numFmtId="0" xfId="0" applyFont="1"/>
    <xf borderId="1" fillId="6" fontId="17" numFmtId="0" xfId="0" applyAlignment="1" applyBorder="1" applyFont="1">
      <alignment horizontal="center" readingOrder="0" vertical="bottom"/>
    </xf>
    <xf borderId="1" fillId="6" fontId="18" numFmtId="0" xfId="0" applyAlignment="1" applyBorder="1" applyFont="1">
      <alignment horizontal="center" readingOrder="0" vertical="bottom"/>
    </xf>
    <xf borderId="1" fillId="6" fontId="18" numFmtId="0" xfId="0" applyAlignment="1" applyBorder="1" applyFont="1">
      <alignment horizontal="center" vertical="bottom"/>
    </xf>
    <xf borderId="1" fillId="6" fontId="19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/>
    </xf>
    <xf borderId="0" fillId="2" fontId="15" numFmtId="164" xfId="0" applyAlignment="1" applyFont="1" applyNumberFormat="1">
      <alignment horizontal="center"/>
    </xf>
    <xf borderId="0" fillId="2" fontId="2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2" fontId="25" numFmtId="0" xfId="0" applyAlignment="1" applyFont="1">
      <alignment horizontal="center"/>
    </xf>
    <xf borderId="0" fillId="0" fontId="24" numFmtId="0" xfId="0" applyAlignment="1" applyFont="1">
      <alignment horizontal="center"/>
    </xf>
    <xf borderId="1" fillId="6" fontId="26" numFmtId="0" xfId="0" applyAlignment="1" applyBorder="1" applyFont="1">
      <alignment readingOrder="0"/>
    </xf>
    <xf borderId="1" fillId="6" fontId="7" numFmtId="0" xfId="0" applyAlignment="1" applyBorder="1" applyFont="1">
      <alignment horizontal="center" readingOrder="0"/>
    </xf>
    <xf borderId="0" fillId="0" fontId="2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2" fontId="15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1" numFmtId="164" xfId="0" applyAlignment="1" applyFont="1" applyNumberFormat="1">
      <alignment horizontal="center"/>
    </xf>
    <xf borderId="0" fillId="2" fontId="1" numFmtId="0" xfId="0" applyAlignment="1" applyFont="1">
      <alignment readingOrder="0"/>
    </xf>
    <xf borderId="0" fillId="2" fontId="5" numFmtId="0" xfId="0" applyAlignment="1" applyFont="1">
      <alignment horizontal="center" readingOrder="0" vertical="bottom"/>
    </xf>
    <xf borderId="0" fillId="2" fontId="27" numFmtId="0" xfId="0" applyAlignment="1" applyFont="1">
      <alignment horizontal="center" readingOrder="0" vertical="bottom"/>
    </xf>
    <xf borderId="0" fillId="2" fontId="5" numFmtId="4" xfId="0" applyAlignment="1" applyFont="1" applyNumberFormat="1">
      <alignment horizontal="center" readingOrder="0" vertical="bottom"/>
    </xf>
    <xf borderId="0" fillId="2" fontId="28" numFmtId="0" xfId="0" applyAlignment="1" applyFont="1">
      <alignment horizontal="center" readingOrder="0" vertical="bottom"/>
    </xf>
    <xf borderId="0" fillId="2" fontId="29" numFmtId="0" xfId="0" applyAlignment="1" applyFont="1">
      <alignment horizontal="center" readingOrder="0" vertical="bottom"/>
    </xf>
    <xf borderId="0" fillId="2" fontId="30" numFmtId="4" xfId="0" applyAlignment="1" applyFont="1" applyNumberFormat="1">
      <alignment horizontal="center" readingOrder="0" vertical="bottom"/>
    </xf>
    <xf borderId="0" fillId="2" fontId="3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0" fontId="21" numFmtId="0" xfId="0" applyAlignment="1" applyFont="1">
      <alignment horizontal="center"/>
    </xf>
    <xf borderId="0" fillId="0" fontId="24" numFmtId="4" xfId="0" applyAlignment="1" applyFont="1" applyNumberFormat="1">
      <alignment horizontal="center"/>
    </xf>
    <xf borderId="0" fillId="2" fontId="13" numFmtId="10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4" xfId="0" applyAlignment="1" applyFont="1" applyNumberFormat="1">
      <alignment horizontal="center" vertical="bottom"/>
    </xf>
    <xf borderId="0" fillId="3" fontId="3" numFmtId="0" xfId="0" applyAlignment="1" applyFont="1">
      <alignment horizontal="center" vertical="bottom"/>
    </xf>
    <xf borderId="0" fillId="0" fontId="24" numFmtId="4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0" fillId="2" fontId="15" numFmtId="0" xfId="0" applyAlignment="1" applyFont="1">
      <alignment readingOrder="0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readingOrder="0" vertical="bottom"/>
    </xf>
    <xf borderId="0" fillId="0" fontId="4" numFmtId="2" xfId="0" applyAlignment="1" applyFont="1" applyNumberFormat="1">
      <alignment vertical="bottom"/>
    </xf>
    <xf borderId="0" fillId="3" fontId="4" numFmtId="171" xfId="0" applyAlignment="1" applyFont="1" applyNumberFormat="1">
      <alignment horizontal="center" readingOrder="0" vertical="bottom"/>
    </xf>
    <xf borderId="0" fillId="4" fontId="4" numFmtId="9" xfId="0" applyAlignment="1" applyFont="1" applyNumberFormat="1">
      <alignment horizontal="center" readingOrder="0" vertical="bottom"/>
    </xf>
    <xf borderId="0" fillId="3" fontId="4" numFmtId="171" xfId="0" applyAlignment="1" applyFont="1" applyNumberFormat="1">
      <alignment horizontal="center" readingOrder="0" vertical="bottom"/>
    </xf>
    <xf borderId="0" fillId="4" fontId="4" numFmtId="171" xfId="0" applyAlignment="1" applyFont="1" applyNumberFormat="1">
      <alignment horizontal="center" vertical="bottom"/>
    </xf>
    <xf borderId="0" fillId="3" fontId="2" numFmtId="0" xfId="0" applyAlignment="1" applyFont="1">
      <alignment readingOrder="0"/>
    </xf>
    <xf borderId="0" fillId="3" fontId="4" numFmtId="172" xfId="0" applyAlignment="1" applyFont="1" applyNumberFormat="1">
      <alignment horizontal="center" readingOrder="0" vertical="bottom"/>
    </xf>
    <xf borderId="0" fillId="3" fontId="4" numFmtId="171" xfId="0" applyAlignment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4" numFmtId="9" xfId="0" applyAlignment="1" applyFont="1" applyNumberFormat="1">
      <alignment horizontal="center" vertical="bottom"/>
    </xf>
    <xf borderId="0" fillId="3" fontId="4" numFmtId="10" xfId="0" applyAlignment="1" applyFont="1" applyNumberFormat="1">
      <alignment horizontal="center" vertical="bottom"/>
    </xf>
    <xf borderId="0" fillId="3" fontId="4" numFmtId="171" xfId="0" applyAlignment="1" applyFont="1" applyNumberFormat="1">
      <alignment horizontal="center" vertical="bottom"/>
    </xf>
    <xf borderId="0" fillId="3" fontId="4" numFmtId="4" xfId="0" applyAlignment="1" applyFont="1" applyNumberFormat="1">
      <alignment horizontal="center" vertical="bottom"/>
    </xf>
    <xf borderId="0" fillId="3" fontId="2" numFmtId="0" xfId="0" applyAlignment="1" applyFont="1">
      <alignment horizontal="center" readingOrder="0"/>
    </xf>
    <xf borderId="2" fillId="2" fontId="3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3" fillId="6" fontId="3" numFmtId="0" xfId="0" applyAlignment="1" applyBorder="1" applyFont="1">
      <alignment vertical="bottom"/>
    </xf>
    <xf borderId="4" fillId="6" fontId="3" numFmtId="0" xfId="0" applyAlignment="1" applyBorder="1" applyFont="1">
      <alignment horizontal="right" vertical="bottom"/>
    </xf>
    <xf borderId="0" fillId="4" fontId="4" numFmtId="173" xfId="0" applyAlignment="1" applyFont="1" applyNumberFormat="1">
      <alignment horizontal="right" vertical="bottom"/>
    </xf>
    <xf borderId="0" fillId="4" fontId="3" numFmtId="167" xfId="0" applyAlignment="1" applyFont="1" applyNumberFormat="1">
      <alignment horizontal="right" vertical="bottom"/>
    </xf>
    <xf borderId="5" fillId="4" fontId="4" numFmtId="168" xfId="0" applyAlignment="1" applyBorder="1" applyFont="1" applyNumberFormat="1">
      <alignment horizontal="right" vertical="bottom"/>
    </xf>
    <xf borderId="0" fillId="4" fontId="4" numFmtId="167" xfId="0" applyAlignment="1" applyFont="1" applyNumberFormat="1">
      <alignment horizontal="right" vertical="bottom"/>
    </xf>
    <xf borderId="0" fillId="2" fontId="4" numFmtId="0" xfId="0" applyAlignment="1" applyFont="1">
      <alignment horizontal="right" readingOrder="0" vertical="bottom"/>
    </xf>
    <xf borderId="5" fillId="4" fontId="3" numFmtId="168" xfId="0" applyAlignment="1" applyBorder="1" applyFont="1" applyNumberFormat="1">
      <alignment horizontal="right" vertical="bottom"/>
    </xf>
    <xf borderId="6" fillId="6" fontId="3" numFmtId="0" xfId="0" applyAlignment="1" applyBorder="1" applyFont="1">
      <alignment horizontal="right" vertical="bottom"/>
    </xf>
    <xf borderId="7" fillId="4" fontId="4" numFmtId="173" xfId="0" applyAlignment="1" applyBorder="1" applyFont="1" applyNumberFormat="1">
      <alignment horizontal="right" vertical="bottom"/>
    </xf>
    <xf borderId="0" fillId="2" fontId="13" numFmtId="2" xfId="0" applyAlignment="1" applyFont="1" applyNumberFormat="1">
      <alignment horizontal="center"/>
    </xf>
    <xf borderId="0" fillId="2" fontId="13" numFmtId="2" xfId="0" applyAlignment="1" applyFont="1" applyNumberFormat="1">
      <alignment horizontal="center" readingOrder="0"/>
    </xf>
    <xf borderId="0" fillId="2" fontId="15" numFmtId="10" xfId="0" applyAlignment="1" applyFont="1" applyNumberFormat="1">
      <alignment horizontal="center" readingOrder="0"/>
    </xf>
    <xf borderId="0" fillId="2" fontId="15" numFmtId="10" xfId="0" applyFont="1" applyNumberFormat="1"/>
    <xf borderId="0" fillId="0" fontId="2" numFmtId="174" xfId="0" applyAlignment="1" applyFont="1" applyNumberFormat="1">
      <alignment horizontal="center"/>
    </xf>
    <xf borderId="0" fillId="0" fontId="2" numFmtId="166" xfId="0" applyFont="1" applyNumberForma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71" xfId="0" applyAlignment="1" applyFont="1" applyNumberFormat="1">
      <alignment shrinkToFit="0" vertical="center" wrapText="0"/>
    </xf>
    <xf borderId="0" fillId="0" fontId="2" numFmtId="175" xfId="0" applyAlignment="1" applyFont="1" applyNumberFormat="1">
      <alignment shrinkToFit="0" vertical="center" wrapText="0"/>
    </xf>
    <xf borderId="0" fillId="0" fontId="2" numFmtId="175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71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readingOrder="0"/>
    </xf>
    <xf borderId="0" fillId="2" fontId="21" numFmtId="0" xfId="0" applyAlignment="1" applyFont="1">
      <alignment horizontal="center" readingOrder="0"/>
    </xf>
    <xf borderId="0" fillId="2" fontId="21" numFmtId="4" xfId="0" applyAlignment="1" applyFont="1" applyNumberFormat="1">
      <alignment horizontal="center" readingOrder="0"/>
    </xf>
    <xf borderId="0" fillId="2" fontId="2" numFmtId="4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76" xfId="0" applyAlignment="1" applyFont="1" applyNumberFormat="1">
      <alignment readingOrder="0"/>
    </xf>
    <xf borderId="1" fillId="6" fontId="9" numFmtId="0" xfId="0" applyAlignment="1" applyBorder="1" applyFont="1">
      <alignment horizontal="center" vertical="bottom"/>
    </xf>
    <xf borderId="1" fillId="6" fontId="32" numFmtId="4" xfId="0" applyAlignment="1" applyBorder="1" applyFont="1" applyNumberFormat="1">
      <alignment horizontal="center" readingOrder="0" vertical="bottom"/>
    </xf>
    <xf borderId="1" fillId="6" fontId="33" numFmtId="0" xfId="0" applyAlignment="1" applyBorder="1" applyFont="1">
      <alignment horizontal="center" readingOrder="0" vertical="bottom"/>
    </xf>
    <xf borderId="0" fillId="0" fontId="34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/>
    </xf>
    <xf borderId="0" fillId="3" fontId="2" numFmtId="165" xfId="0" applyFont="1" applyNumberFormat="1"/>
    <xf borderId="0" fillId="3" fontId="2" numFmtId="164" xfId="0" applyFont="1" applyNumberFormat="1"/>
    <xf borderId="5" fillId="7" fontId="1" numFmtId="0" xfId="0" applyAlignment="1" applyBorder="1" applyFont="1">
      <alignment readingOrder="0" shrinkToFit="0" vertical="center" wrapText="0"/>
    </xf>
    <xf borderId="5" fillId="7" fontId="2" numFmtId="177" xfId="0" applyAlignment="1" applyBorder="1" applyFont="1" applyNumberFormat="1">
      <alignment horizontal="left" readingOrder="0" shrinkToFit="0" vertical="center" wrapText="0"/>
    </xf>
    <xf borderId="4" fillId="7" fontId="1" numFmtId="2" xfId="0" applyAlignment="1" applyBorder="1" applyFont="1" applyNumberFormat="1">
      <alignment shrinkToFit="0" vertical="center" wrapText="0"/>
    </xf>
    <xf borderId="4" fillId="7" fontId="2" numFmtId="0" xfId="0" applyAlignment="1" applyBorder="1" applyFont="1">
      <alignment horizontal="left" readingOrder="0" shrinkToFit="0" vertical="center" wrapText="0"/>
    </xf>
    <xf borderId="10" fillId="7" fontId="1" numFmtId="2" xfId="0" applyAlignment="1" applyBorder="1" applyFont="1" applyNumberFormat="1">
      <alignment shrinkToFit="0" vertical="center" wrapText="0"/>
    </xf>
    <xf borderId="5" fillId="6" fontId="1" numFmtId="0" xfId="0" applyAlignment="1" applyBorder="1" applyFont="1">
      <alignment readingOrder="0" shrinkToFit="0" vertical="center" wrapText="0"/>
    </xf>
    <xf borderId="5" fillId="6" fontId="2" numFmtId="177" xfId="0" applyAlignment="1" applyBorder="1" applyFont="1" applyNumberFormat="1">
      <alignment horizontal="left" readingOrder="0" shrinkToFit="0" vertical="center" wrapText="0"/>
    </xf>
    <xf borderId="4" fillId="6" fontId="1" numFmtId="2" xfId="0" applyAlignment="1" applyBorder="1" applyFont="1" applyNumberFormat="1">
      <alignment shrinkToFit="0" vertical="center" wrapText="0"/>
    </xf>
    <xf borderId="4" fillId="6" fontId="2" numFmtId="0" xfId="0" applyAlignment="1" applyBorder="1" applyFont="1">
      <alignment horizontal="left" readingOrder="0" shrinkToFit="0" vertical="center" wrapText="0"/>
    </xf>
    <xf borderId="10" fillId="6" fontId="1" numFmtId="2" xfId="0" applyAlignment="1" applyBorder="1" applyFont="1" applyNumberFormat="1">
      <alignment shrinkToFit="0" vertical="center" wrapText="0"/>
    </xf>
    <xf borderId="0" fillId="8" fontId="2" numFmtId="0" xfId="0" applyFill="1" applyFont="1"/>
    <xf borderId="0" fillId="0" fontId="2" numFmtId="0" xfId="0" applyAlignment="1" applyFont="1">
      <alignment horizontal="right"/>
    </xf>
    <xf borderId="2" fillId="6" fontId="1" numFmtId="0" xfId="0" applyAlignment="1" applyBorder="1" applyFont="1">
      <alignment horizontal="right" readingOrder="0" shrinkToFit="0" vertical="center" wrapText="0"/>
    </xf>
    <xf borderId="2" fillId="6" fontId="1" numFmtId="177" xfId="0" applyAlignment="1" applyBorder="1" applyFont="1" applyNumberFormat="1">
      <alignment horizontal="right" readingOrder="0" shrinkToFit="0" vertical="center" wrapText="0"/>
    </xf>
    <xf borderId="2" fillId="6" fontId="1" numFmtId="2" xfId="0" applyAlignment="1" applyBorder="1" applyFont="1" applyNumberFormat="1">
      <alignment shrinkToFit="0" vertical="center" wrapText="0"/>
    </xf>
    <xf borderId="2" fillId="6" fontId="1" numFmtId="0" xfId="0" applyAlignment="1" applyBorder="1" applyFont="1">
      <alignment horizontal="right" readingOrder="0" shrinkToFit="0" vertical="center" wrapText="0"/>
    </xf>
    <xf borderId="0" fillId="7" fontId="1" numFmtId="0" xfId="0" applyAlignment="1" applyFont="1">
      <alignment readingOrder="0"/>
    </xf>
    <xf borderId="0" fillId="7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9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3" fontId="21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0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1" fillId="12" fontId="35" numFmtId="0" xfId="0" applyAlignment="1" applyBorder="1" applyFill="1" applyFont="1">
      <alignment shrinkToFit="0" vertical="center" wrapText="0"/>
    </xf>
    <xf borderId="12" fillId="12" fontId="4" numFmtId="0" xfId="0" applyAlignment="1" applyBorder="1" applyFont="1">
      <alignment shrinkToFit="0" vertical="center" wrapText="0"/>
    </xf>
    <xf borderId="12" fillId="12" fontId="4" numFmtId="10" xfId="0" applyAlignment="1" applyBorder="1" applyFont="1" applyNumberFormat="1">
      <alignment shrinkToFit="0" vertical="center" wrapText="0"/>
    </xf>
    <xf borderId="12" fillId="12" fontId="35" numFmtId="0" xfId="0" applyAlignment="1" applyBorder="1" applyFont="1">
      <alignment horizontal="right" shrinkToFit="0" vertical="center" wrapText="0"/>
    </xf>
    <xf borderId="12" fillId="12" fontId="4" numFmtId="10" xfId="0" applyAlignment="1" applyBorder="1" applyFont="1" applyNumberFormat="1">
      <alignment shrinkToFit="0" vertical="center" wrapText="0"/>
    </xf>
    <xf borderId="13" fillId="12" fontId="35" numFmtId="10" xfId="0" applyAlignment="1" applyBorder="1" applyFont="1" applyNumberFormat="1">
      <alignment horizontal="right" readingOrder="0" shrinkToFit="0" vertical="center" wrapText="0"/>
    </xf>
    <xf borderId="11" fillId="2" fontId="35" numFmtId="0" xfId="0" applyAlignment="1" applyBorder="1" applyFont="1">
      <alignment shrinkToFit="0" vertical="center" wrapText="0"/>
    </xf>
    <xf borderId="12" fillId="2" fontId="4" numFmtId="0" xfId="0" applyAlignment="1" applyBorder="1" applyFont="1">
      <alignment shrinkToFit="0" vertical="center" wrapText="0"/>
    </xf>
    <xf borderId="12" fillId="2" fontId="4" numFmtId="10" xfId="0" applyAlignment="1" applyBorder="1" applyFont="1" applyNumberFormat="1">
      <alignment shrinkToFit="0" vertical="center" wrapText="0"/>
    </xf>
    <xf borderId="12" fillId="2" fontId="35" numFmtId="0" xfId="0" applyAlignment="1" applyBorder="1" applyFont="1">
      <alignment horizontal="right" shrinkToFit="0" vertical="center" wrapText="0"/>
    </xf>
    <xf borderId="12" fillId="2" fontId="35" numFmtId="10" xfId="0" applyAlignment="1" applyBorder="1" applyFont="1" applyNumberFormat="1">
      <alignment horizontal="right" readingOrder="0" shrinkToFit="0" vertical="center" wrapText="0"/>
    </xf>
    <xf borderId="13" fillId="2" fontId="4" numFmtId="10" xfId="0" applyAlignment="1" applyBorder="1" applyFont="1" applyNumberFormat="1">
      <alignment shrinkToFit="0" vertical="center" wrapText="0"/>
    </xf>
    <xf borderId="0" fillId="0" fontId="2" numFmtId="10" xfId="0" applyFont="1" applyNumberFormat="1"/>
    <xf borderId="0" fillId="0" fontId="2" numFmtId="1" xfId="0" applyFont="1" applyNumberFormat="1"/>
    <xf borderId="0" fillId="0" fontId="2" numFmtId="10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11" fillId="2" fontId="35" numFmtId="0" xfId="0" applyAlignment="1" applyBorder="1" applyFont="1">
      <alignment shrinkToFit="0" vertical="center" wrapText="0"/>
    </xf>
    <xf borderId="12" fillId="2" fontId="4" numFmtId="0" xfId="0" applyAlignment="1" applyBorder="1" applyFont="1">
      <alignment shrinkToFit="0" vertical="center" wrapText="0"/>
    </xf>
    <xf borderId="12" fillId="2" fontId="35" numFmtId="0" xfId="0" applyAlignment="1" applyBorder="1" applyFont="1">
      <alignment horizontal="right" shrinkToFit="0" vertical="center" wrapText="0"/>
    </xf>
    <xf borderId="12" fillId="2" fontId="4" numFmtId="10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5" pivot="0" name="GearInput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tatweight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tatweights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Threat comparison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Gear Dat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Enchant Dat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Weapon Data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APWeight3!$A$43:$A$59</c:f>
            </c:strRef>
          </c:cat>
          <c:val>
            <c:numRef>
              <c:f>APWeight3!$I$43:$I$59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StrWeight3!$A$43:$A$59</c:f>
            </c:strRef>
          </c:cat>
          <c:val>
            <c:numRef>
              <c:f>StrWeight3!$I$43:$I$59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StrWeight4!$A$43:$A$59</c:f>
            </c:strRef>
          </c:cat>
          <c:val>
            <c:numRef>
              <c:f>StrWeight4!$I$43:$I$59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AgiWeight3!$A$43:$A$59</c:f>
            </c:strRef>
          </c:cat>
          <c:val>
            <c:numRef>
              <c:f>AgiWeight3!$I$43:$I$59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AgiWeight4!$A$43:$A$59</c:f>
            </c:strRef>
          </c:cat>
          <c:val>
            <c:numRef>
              <c:f>AgiWeight4!$I$43:$I$59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PhysCritWeight3!$A$43:$A$59</c:f>
            </c:strRef>
          </c:cat>
          <c:val>
            <c:numRef>
              <c:f>PhysCritWeight3!$I$43:$I$59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PhysHitWeight3!$A$43:$A$59</c:f>
            </c:strRef>
          </c:cat>
          <c:val>
            <c:numRef>
              <c:f>PhysHitWeight3!$I$43:$I$59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PhysHitWeight4!$A$43:$A$59</c:f>
            </c:strRef>
          </c:cat>
          <c:val>
            <c:numRef>
              <c:f>PhysHitWeight4!$I$43:$I$59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WepSkillWeight3!$A$43:$A$59</c:f>
            </c:strRef>
          </c:cat>
          <c:val>
            <c:numRef>
              <c:f>WepSkillWeight3!$I$43:$I$59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WepSkillWeight4!$A$43:$A$59</c:f>
            </c:strRef>
          </c:cat>
          <c:val>
            <c:numRef>
              <c:f>WepSkillWeight4!$I$43:$I$59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ArPWeight3!$A$43:$A$59</c:f>
            </c:strRef>
          </c:cat>
          <c:val>
            <c:numRef>
              <c:f>ArPWeight3!$I$43:$I$59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ArPWeight4!$A$43:$A$59</c:f>
            </c:strRef>
          </c:cat>
          <c:val>
            <c:numRef>
              <c:f>ArPWeight4!$I$43:$I$59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IntWeight3!$A$43:$A$59</c:f>
            </c:strRef>
          </c:cat>
          <c:val>
            <c:numRef>
              <c:f>IntWeight3!$I$43:$I$59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IntWeight4!$A$43:$A$59</c:f>
            </c:strRef>
          </c:cat>
          <c:val>
            <c:numRef>
              <c:f>IntWeight4!$I$43:$I$59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SpellPenWeight3!$A$43:$A$59</c:f>
            </c:strRef>
          </c:cat>
          <c:val>
            <c:numRef>
              <c:f>SpellPenWeight3!$I$43:$I$59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SpellPenWeight4!$A$43:$A$59</c:f>
            </c:strRef>
          </c:cat>
          <c:val>
            <c:numRef>
              <c:f>SpellPenWeight4!$I$43:$I$59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NatureWeight3!$A$43:$A$59</c:f>
            </c:strRef>
          </c:cat>
          <c:val>
            <c:numRef>
              <c:f>NatureWeight3!$I$43:$I$59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NatureWeight4!$A$43:$A$59</c:f>
            </c:strRef>
          </c:cat>
          <c:val>
            <c:numRef>
              <c:f>NatureWeight4!$I$43:$I$59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FireWeight3!$A$43:$A$59</c:f>
            </c:strRef>
          </c:cat>
          <c:val>
            <c:numRef>
              <c:f>FireWeight3!$I$43:$I$59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FireWeight4!$A$43:$A$59</c:f>
            </c:strRef>
          </c:cat>
          <c:val>
            <c:numRef>
              <c:f>FireWeight4!$I$43:$I$59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SpellCritWeight4!$A$43:$A$59</c:f>
            </c:strRef>
          </c:cat>
          <c:val>
            <c:numRef>
              <c:f>SpellCritWeight4!$I$43:$I$59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SpellCritWeight3!$A$43:$A$59</c:f>
            </c:strRef>
          </c:cat>
          <c:val>
            <c:numRef>
              <c:f>SpellCritWeight3!$I$43:$I$59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SpellHitWeight3!$A$43:$A$59</c:f>
            </c:strRef>
          </c:cat>
          <c:val>
            <c:numRef>
              <c:f>SpellHitWeight3!$I$43:$I$59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SpellHitWeight4!$A$43:$A$59</c:f>
            </c:strRef>
          </c:cat>
          <c:val>
            <c:numRef>
              <c:f>SpellHitWeight4!$I$43:$I$59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HasteWeight4!$A$43:$A$59</c:f>
            </c:strRef>
          </c:cat>
          <c:val>
            <c:numRef>
              <c:f>HasteWeight4!$I$43:$I$59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APWeight4!$A$43:$A$59</c:f>
            </c:strRef>
          </c:cat>
          <c:val>
            <c:numRef>
              <c:f>APWeight4!$I$43:$I$59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PhysCritWeight4!$A$43:$A$59</c:f>
            </c:strRef>
          </c:cat>
          <c:val>
            <c:numRef>
              <c:f>PhysCritWeight4!$I$43:$I$59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HasteWeight3!$A$43:$A$59</c:f>
            </c:strRef>
          </c:cat>
          <c:val>
            <c:numRef>
              <c:f>HasteWeight3!$I$43:$I$59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'Main(automatic)'!$A$43:$A$59</c:f>
            </c:strRef>
          </c:cat>
          <c:val>
            <c:numRef>
              <c:f>'Main(automatic)'!$I$43:$I$59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'Main(manual)'!$A$43:$A$59</c:f>
            </c:strRef>
          </c:cat>
          <c:val>
            <c:numRef>
              <c:f>'Main(manual)'!$I$43:$I$59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Threat Sources</a:t>
            </a:r>
          </a:p>
        </c:rich>
      </c:tx>
      <c:layout>
        <c:manualLayout>
          <c:xMode val="edge"/>
          <c:yMode val="edge"/>
          <c:x val="0.031395348837209305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'Main(manual)'!$A$43:$A$59</c:f>
            </c:strRef>
          </c:cat>
          <c:val>
            <c:numRef>
              <c:f>'Main(manual)'!$J$43:$J$59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Damage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D9D9D9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Pt>
            <c:idx val="4"/>
            <c:spPr>
              <a:solidFill>
                <a:srgbClr val="4A86E8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00FFFF"/>
              </a:solidFill>
            </c:spPr>
          </c:dPt>
          <c:dPt>
            <c:idx val="7"/>
            <c:spPr>
              <a:solidFill>
                <a:srgbClr val="F1C232"/>
              </a:solidFill>
            </c:spPr>
          </c:dPt>
          <c:dPt>
            <c:idx val="8"/>
            <c:spPr>
              <a:solidFill>
                <a:srgbClr val="FF9900"/>
              </a:solidFill>
            </c:spPr>
          </c:dPt>
          <c:dPt>
            <c:idx val="9"/>
            <c:spPr>
              <a:solidFill>
                <a:srgbClr val="FF9900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DD7E6B"/>
              </a:solidFill>
            </c:spPr>
          </c:dPt>
          <c:dPt>
            <c:idx val="13"/>
            <c:spPr>
              <a:solidFill>
                <a:srgbClr val="EA9999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'Main(manual)2'!$A$43:$A$59</c:f>
            </c:strRef>
          </c:cat>
          <c:val>
            <c:numRef>
              <c:f>'Main(manual)2'!$I$43:$I$59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Threat vs. Time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cat>
            <c:strRef>
              <c:f>'Threat comparisons'!$O$2:$O$152</c:f>
            </c:strRef>
          </c:cat>
          <c:val>
            <c:numRef>
              <c:f>'Threat comparisons'!$P$1:$P$152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'Threat comparisons'!$O$2:$O$152</c:f>
            </c:strRef>
          </c:cat>
          <c:val>
            <c:numRef>
              <c:f>'Threat comparisons'!$Q$2:$Q$152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'Threat comparisons'!$O$2:$O$152</c:f>
            </c:strRef>
          </c:cat>
          <c:val>
            <c:numRef>
              <c:f>'Threat comparisons'!$R$2:$R$152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'Threat comparisons'!$O$2:$O$152</c:f>
            </c:strRef>
          </c:cat>
          <c:val>
            <c:numRef>
              <c:f>'Threat comparisons'!$S$2:$S$152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'Threat comparisons'!$O$2:$O$152</c:f>
            </c:strRef>
          </c:cat>
          <c:val>
            <c:numRef>
              <c:f>'Threat comparisons'!$T$2:$T$152</c:f>
              <c:numCache/>
            </c:numRef>
          </c:val>
          <c:smooth val="0"/>
        </c:ser>
        <c:axId val="1997035006"/>
        <c:axId val="1697455623"/>
      </c:lineChart>
      <c:catAx>
        <c:axId val="1997035006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455623"/>
      </c:catAx>
      <c:valAx>
        <c:axId val="1697455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035006"/>
      </c:valAx>
    </c:plotArea>
    <c:legend>
      <c:legendPos val="r"/>
      <c:layout>
        <c:manualLayout>
          <c:xMode val="edge"/>
          <c:yMode val="edge"/>
          <c:x val="0.43149171270718234"/>
          <c:y val="0.1172619047619047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9525</xdr:rowOff>
    </xdr:from>
    <xdr:ext cx="4095750" cy="25717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590550</xdr:colOff>
      <xdr:row>28</xdr:row>
      <xdr:rowOff>9525</xdr:rowOff>
    </xdr:from>
    <xdr:ext cx="4095750" cy="25717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410075" cy="27717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20125" cy="533400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W17" displayName="Table4" name="Table4" id="1">
  <tableColumns count="23">
    <tableColumn totalsRowLabel="Total:" name="Slot" id="1"/>
    <tableColumn name="Item" id="2"/>
    <tableColumn name="Enchants" id="3"/>
    <tableColumn totalsRowFunction="custom" name="Strength" id="4"/>
    <tableColumn totalsRowFunction="custom" name="AP" id="5"/>
    <tableColumn totalsRowFunction="custom" name="Agility" id="6"/>
    <tableColumn totalsRowFunction="custom" name="Crit " id="7"/>
    <tableColumn totalsRowFunction="custom" name="Hit " id="8"/>
    <tableColumn totalsRowFunction="custom" name="Haste " id="9"/>
    <tableColumn name="Haste (Enchants)" id="10"/>
    <tableColumn totalsRowFunction="custom" name="Weapon Skill" id="11"/>
    <tableColumn totalsRowFunction="custom" name="Armor Pen" id="12"/>
    <tableColumn totalsRowFunction="custom" name="Int" id="13"/>
    <tableColumn totalsRowFunction="custom" name="MP5" id="14"/>
    <tableColumn totalsRowFunction="custom" name="Spirit" id="15"/>
    <tableColumn totalsRowFunction="custom" name="Meditation" id="16"/>
    <tableColumn totalsRowFunction="custom" name="Spell Pen" id="17"/>
    <tableColumn totalsRowFunction="custom" name="Spellpower" id="18"/>
    <tableColumn totalsRowFunction="custom" name="Nature Spellpower" id="19"/>
    <tableColumn totalsRowFunction="custom" name="Fire Spellpower" id="20"/>
    <tableColumn totalsRowFunction="custom" name="Spell Crit" id="21"/>
    <tableColumn totalsRowFunction="custom" name="Spell Hit" id="22"/>
    <tableColumn totalsRowFunction="custom" name="Total Weight" id="23"/>
  </tableColumns>
  <tableStyleInfo name="GearInputs-style" showColumnStripes="0" showFirstColumn="1" showLastColumn="1" showRowStripes="1"/>
</table>
</file>

<file path=xl/tables/table2.xml><?xml version="1.0" encoding="utf-8"?>
<table xmlns="http://schemas.openxmlformats.org/spreadsheetml/2006/main" ref="E2:I18" displayName="Table1" name="Table1" id="2">
  <tableColumns count="5">
    <tableColumn name="Stat" id="1"/>
    <tableColumn name="✏️ Item 1 stats" id="2"/>
    <tableColumn name="🔒Item 1 weights " id="3"/>
    <tableColumn name="✏️ Item 2 stats" id="4"/>
    <tableColumn name="🔒Item 2 weights" id="5"/>
  </tableColumns>
  <tableStyleInfo name="Statweights-style" showColumnStripes="0" showFirstColumn="1" showLastColumn="1" showRowStripes="1"/>
</table>
</file>

<file path=xl/tables/table3.xml><?xml version="1.0" encoding="utf-8"?>
<table xmlns="http://schemas.openxmlformats.org/spreadsheetml/2006/main" ref="E21:I37" displayName="Table2" name="Table2" id="3">
  <tableColumns count="5">
    <tableColumn name="Stat" id="1"/>
    <tableColumn name="✏️ Item 1 stats" id="2"/>
    <tableColumn name="🔒Item 1 weights " id="3"/>
    <tableColumn name="✏️ Item 2 stats" id="4"/>
    <tableColumn name="🔒Item 2 weights" id="5"/>
  </tableColumns>
  <tableStyleInfo name="Statweights-style 2" showColumnStripes="0" showFirstColumn="1" showLastColumn="1" showRowStripes="1"/>
</table>
</file>

<file path=xl/tables/table4.xml><?xml version="1.0" encoding="utf-8"?>
<table xmlns="http://schemas.openxmlformats.org/spreadsheetml/2006/main" ref="O1:T152" displayName="Table3" name="Table3" id="4">
  <tableColumns count="6">
    <tableColumn name="Time" id="1"/>
    <tableColumn name="Tank Threat" id="2"/>
    <tableColumn name="DPS threat(avg)" id="3"/>
    <tableColumn name="DPS threat(max)" id="4"/>
    <tableColumn name="DPSavg+tranq" id="5"/>
    <tableColumn name="DPSmax+tranq" id="6"/>
  </tableColumns>
  <tableStyleInfo name="Threat comparisons-style" showColumnStripes="0" showFirstColumn="1" showLastColumn="1" showRowStripes="1"/>
</table>
</file>

<file path=xl/tables/table5.xml><?xml version="1.0" encoding="utf-8"?>
<table xmlns="http://schemas.openxmlformats.org/spreadsheetml/2006/main" totalsRowCount="1" ref="A1:S231" displayName="Gear_Data_2" name="Gear_Data_2" id="5">
  <autoFilter ref="$A$1:$S$231"/>
  <tableColumns count="19">
    <tableColumn name="Item" id="1"/>
    <tableColumn name="Strength" id="2"/>
    <tableColumn name="AP" id="3"/>
    <tableColumn name="Agility" id="4"/>
    <tableColumn name="Crit %" id="5"/>
    <tableColumn name="Hit %" id="6"/>
    <tableColumn name="Haste" id="7"/>
    <tableColumn name="Weapon Skill" id="8"/>
    <tableColumn name="Armor Pen" id="9"/>
    <tableColumn name="Int" id="10"/>
    <tableColumn name="MP5" id="11"/>
    <tableColumn name="Spirit" id="12"/>
    <tableColumn name="Meditation" id="13"/>
    <tableColumn name="Spell Pen" id="14"/>
    <tableColumn name="Spellpower" id="15"/>
    <tableColumn name="Nature Spellpower" id="16"/>
    <tableColumn name="Fire Spellpower" id="17"/>
    <tableColumn name="Spell Crit" id="18"/>
    <tableColumn name="Spell Hit" id="19"/>
  </tableColumns>
  <tableStyleInfo name="Gear Data-style" showColumnStripes="0" showFirstColumn="1" showLastColumn="1" showRowStripes="1"/>
</table>
</file>

<file path=xl/tables/table6.xml><?xml version="1.0" encoding="utf-8"?>
<table xmlns="http://schemas.openxmlformats.org/spreadsheetml/2006/main" ref="A1:S107" displayName="Enchant_Data_2" name="Enchant_Data_2" id="6">
  <tableColumns count="19">
    <tableColumn name="Item" id="1"/>
    <tableColumn name="Strength" id="2"/>
    <tableColumn name="AP" id="3"/>
    <tableColumn name="Agility" id="4"/>
    <tableColumn name="Crit %" id="5"/>
    <tableColumn name="Hit" id="6"/>
    <tableColumn name="Haste" id="7"/>
    <tableColumn name="Weapon Skill" id="8"/>
    <tableColumn name="Armor Pen" id="9"/>
    <tableColumn name="Int" id="10"/>
    <tableColumn name="MP5" id="11"/>
    <tableColumn name="Spirit" id="12"/>
    <tableColumn name="Meditation" id="13"/>
    <tableColumn name="Spell Pen" id="14"/>
    <tableColumn name="Spellpower" id="15"/>
    <tableColumn name="Nature Spellpower" id="16"/>
    <tableColumn name="Fire Spellpower" id="17"/>
    <tableColumn name="Spell Crit" id="18"/>
    <tableColumn name="Spell Hit" id="19"/>
  </tableColumns>
  <tableStyleInfo name="Enchant Data-style" showColumnStripes="0" showFirstColumn="1" showLastColumn="1" showRowStripes="1"/>
</table>
</file>

<file path=xl/tables/table7.xml><?xml version="1.0" encoding="utf-8"?>
<table xmlns="http://schemas.openxmlformats.org/spreadsheetml/2006/main" ref="A1:D31" displayName="Weapon_Data_2" name="Weapon_Data_2" id="7">
  <tableColumns count="4">
    <tableColumn name="Weapon" id="1"/>
    <tableColumn name="Weapon Speed" id="2"/>
    <tableColumn name="Minimum Damage" id="3"/>
    <tableColumn name="Weapon Damage" id="4"/>
  </tableColumns>
  <tableStyleInfo name="Weapon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1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4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5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6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'Main(manual)'!B3+100</f>
        <v>100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1562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0.8469571179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1195.025651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1797.684107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0.3138920884</v>
      </c>
      <c r="C26" s="18">
        <f>1-B26</f>
        <v>0.6861079116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739.8976733</v>
      </c>
      <c r="G43" s="74">
        <f>($F$3+($N$3/E43))*(1+U8)*IF($H$13,1.04,1)*(1-$P$12)+IF($H14,8,0)</f>
        <v>885.4901316</v>
      </c>
      <c r="H43" s="74">
        <f>((AVERAGE(F43,G43)*$P$5*$P$7)+(AVERAGE(F43,G43)*$P$10*2)+(AVERAGE(F43,G43)*$P$8)+((AVERAGE(F43,G43)-$P$6)*$P$4))</f>
        <v>963.6111601</v>
      </c>
      <c r="I43" s="75">
        <f>H43/C43</f>
        <v>322.9383158</v>
      </c>
      <c r="J43" s="76">
        <f>I43*(IF($J$3="Rockbiter",1+U3,1)+IF(AND($J$3="Rockbiter",$F$11),U3*U4,0))*IF($J$6,0.75,1)*IF($J$7,0.8,1)*IF($F$17,1.02,1)*IF($F$18,0.98,1)*(1-U7)*(1+U5)</f>
        <v>237.3596621</v>
      </c>
      <c r="K43" s="18">
        <f t="shared" ref="K43:K52" si="4">I43/$B$23</f>
        <v>0.1796413032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832.9168549</v>
      </c>
      <c r="G44" s="74">
        <f>($F$3+(($N$3+323)/$E$43))*(1+U8)*IF($H$13,1.04,1)*(1-$P$12)+IF($H14,8,0)</f>
        <v>978.5093132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456.2733773</v>
      </c>
      <c r="I45" s="75">
        <f>IF($J$3="Flametongue",(H45/C45)+(H45/C46)+(H45/C49)+IF(F23,((H45/C45)+(H45/C46)+(H45/C49))*K67,0))</f>
        <v>260.6436772</v>
      </c>
      <c r="J45" s="76">
        <f>I45*(IF($J$3="Rockbiter",1+U3,1)+IF(AND($J$3="Rockbiter",$F$11),U3*U4,0))*IF($J$6,0.7,1)*IF($J$7,0.8,1)*IF($F$17,1.02,1)*IF($F$18,0.98,1)*(1-U7)*(1+U5)</f>
        <v>178.8015626</v>
      </c>
      <c r="K45" s="18">
        <f t="shared" si="4"/>
        <v>0.1449885862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479.4536923</v>
      </c>
      <c r="G46" s="79">
        <f>G43*0.6*(1+U8)</f>
        <v>573.7976053</v>
      </c>
      <c r="H46" s="79">
        <f>(AVERAGE(F46,G46)*($P$10+$U$8)*(2*(1+$D$17*0.25))+(AVERAGE(F46,G46)*(1-$P$2-$P$3-$P$4-($P$10+U8)))+((AVERAGE(F46,G46)-$P$6)*$P$4))</f>
        <v>873.8826016</v>
      </c>
      <c r="I46" s="75">
        <f t="shared" ref="I46:I47" si="6">H46/C46</f>
        <v>97.09806684</v>
      </c>
      <c r="J46" s="76">
        <f>I46*(IF($J$3="Rockbiter",1+U3,1)+IF(AND($J$3="Rockbiter",$F$11),U3*U4,0))*IF($J$6,0.75,1)*IF($J$7,0.8,1)*IF($F$17,1.02,1)*IF($F$18,0.98,1)*(1-U7)*(1+U5)</f>
        <v>71.36707913</v>
      </c>
      <c r="K46" s="18">
        <f t="shared" si="4"/>
        <v>0.05401286381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260.047725</v>
      </c>
      <c r="G47" s="79">
        <f>(($F$3+($N$3/E43))*(0.2)+($D$47*$N$15))*(1+U8)*IF($H$20,1+(0.1*H67),1)*(1+(D17*0.05))*IF(J23,1+U9,1)</f>
        <v>300.0268106</v>
      </c>
      <c r="H47" s="79">
        <f>(AVERAGE(F47,G47)*($P$10+$U$8)*(1.5+($D$17*0.25))+(AVERAGE(F47,G47)*(1-$P$2-$P$3-$P$4-($P$10+U8)))+((AVERAGE(F47,G47)-$P$6)*$P$4))*IF(J23,1+U9,1)</f>
        <v>455.6556394</v>
      </c>
      <c r="I47" s="75">
        <f t="shared" si="6"/>
        <v>50.62840438</v>
      </c>
      <c r="J47" s="76">
        <f>I47*(IF($J$3="Rockbiter",1+U3,1)+IF(AND($J$3="Rockbiter",$F$11),U3*U4,0))*IF($J$6,0.75,1)*IF($J$7,0.8,1)*IF($F$17,1.02,1)*IF($F$18,0.98,1)*(1-U7)*(1+U5)</f>
        <v>37.21187722</v>
      </c>
      <c r="K47" s="18">
        <f t="shared" si="4"/>
        <v>0.0281631262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1348.764248</v>
      </c>
      <c r="G48" s="74">
        <f>IF($J$2="Lightning",(198+(D48*N15)+(E48*$N$3))*IF($J$23,1+U9,1)*IF($F$12,1.15,1)*(1+(D17*0.05))*(1+(D9*0.01))*IF($H$20,1+(0.1*H67),1)*IF(J26,1.15,1),0)</f>
        <v>1348.764248</v>
      </c>
      <c r="H48" s="79">
        <f>G48*((1-$P$14*0.0025)*$P$13)*(1-P2-P3)</f>
        <v>1196.839443</v>
      </c>
      <c r="I48" s="75">
        <f>IF(F15,((H48/C48)+(H48/C43)*0.15+(H48/C46)*0.15+(H48/C49)*0.15+IF(J3="Windfury",H48/C44,0)*0.15)*(1-P2),(H48/C48)*(1-P2))</f>
        <v>125.5351593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92.26834211</v>
      </c>
      <c r="K48" s="18">
        <f t="shared" si="4"/>
        <v>0.06983160102</v>
      </c>
      <c r="L48" s="80">
        <f>IF($J$2="Lightning",(182*(1-J26*0.2)),(182*(1-J26*0.2))-(150+($N$3/10)))-($P$17*0.6*182)</f>
        <v>89.51228272</v>
      </c>
      <c r="M48" s="74">
        <f t="shared" ref="M48:M51" si="7">L48/C48</f>
        <v>9.945809191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9">
        <f>$F$43*1.01*(1+U8)</f>
        <v>807.080382</v>
      </c>
      <c r="G49" s="79">
        <f>$G$43*1.01*(1+U8)</f>
        <v>965.8926355</v>
      </c>
      <c r="H49" s="79">
        <f>(AVERAGE(F49,G49)*($P$10+$U$8)*2)+(AVERAGE(F49,G49)*(1-$P$2-$P$3-$P$4-($P$10+U8)))+((AVERAGE(F49,G49)-$P$6)*$P$4)</f>
        <v>1153.939488</v>
      </c>
      <c r="I49" s="75">
        <f>H49/C49</f>
        <v>144.2424361</v>
      </c>
      <c r="J49" s="76">
        <f>I49*(IF($J$3="Rockbiter",1+U3,1)+IF(AND($J$3="Rockbiter",$F$11),U3*U4,0))*IF($J$6,0.75,1)*IF($J$7,0.8,1)*IF($F$17,1.02,1)*IF($F$18,0.98,1)*(1-U7)*(1+U5)</f>
        <v>106.0181905</v>
      </c>
      <c r="K49" s="18">
        <f t="shared" si="4"/>
        <v>0.08023792139</v>
      </c>
      <c r="L49" s="80">
        <f>(152*(1-J26*0.2))-($P$17*0.6*152)</f>
        <v>74.75751084</v>
      </c>
      <c r="M49" s="74">
        <f t="shared" si="7"/>
        <v>9.344688856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1440.748972</v>
      </c>
      <c r="G50" s="80">
        <f>(520+(E50*$N$3)+(D50*$N$15)+IF(F7,30,0))*(1+(D17*0.05))*(1+(D9*0.01))*IF($J$23,1+U9,1)*IF(F14,1.1,1)*IF(J26,1.15,1)*IF($H$20,1+(0.1*H67),1)</f>
        <v>1482.607416</v>
      </c>
      <c r="H50" s="80">
        <f>(AVERAGE(F50,G50))*(($N$17+$U$8+IF($F$14,0.05,0))*(1.5+($D$17*0.25)))+(AVERAGE(F50,G50))*((MIN(IF($H$3=63,0.83+$N$18,0.96+$N$18-(($H$3-60)*0.01)),0.99))-($N$17+$U$8+IF($F$14,0.05,0)))*((1-$P$14*0.0025)*$P$13)</f>
        <v>1743.11981</v>
      </c>
      <c r="I50" s="75">
        <f>H50*2/15</f>
        <v>232.4159747</v>
      </c>
      <c r="J50" s="76">
        <f>I50*(IF($J$3="Rockbiter",1+U3,1)+IF(AND($J$3="Rockbiter",$F$11),U3*U4,0))*IF($J$6,0.75,1)*IF($J$7,0.8,1)*IF($F$17,1.02,1)*IF($F$18,0.98,1)*1.5*(1+U5)</f>
        <v>256.2386121</v>
      </c>
      <c r="K50" s="18">
        <f t="shared" si="4"/>
        <v>0.1292863267</v>
      </c>
      <c r="L50" s="80">
        <f>(450*(1-($D$10*0.02))*(1-J26*0.2))-($P$17*0.6*450)</f>
        <v>203.3215782</v>
      </c>
      <c r="M50" s="74">
        <f t="shared" si="7"/>
        <v>40.66431563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1404.387988</v>
      </c>
      <c r="G51" s="80">
        <f>(293+(E51*$N$3)+(D51*$N$16)+IF($F$7,30,0))*(1+D9*0.01)*IF(J3="Flametongue",1+(D12*0.1),1)*(1+($D$14*0.05))*(1+($D$17*0.05))*IF($H$18,1.1,1)*IF($H$19,1.15,1)*IF($H$20,1+(0.1*H67),1)*IF(F14,1.1,1)*IF(J26,1.15,1)</f>
        <v>1404.387988</v>
      </c>
      <c r="H51" s="80">
        <f>(AVERAGE(F51,G51))*(($N$17+$U$8+IF($F$14,0.05,0))*(1.5+($D$17*0.25)))+(AVERAGE(F51,G51))*((MIN(IF($H$3=63,0.83+$N$18,0.96+$N$18-(($H$3-60)*0.01)),0.99))-($N$17+$U$8+IF($F$14,0.05,0)))*((1-$P$15*0.0025)*$P$13)</f>
        <v>1674.798552</v>
      </c>
      <c r="I51" s="75">
        <f t="shared" ref="I51:I52" si="9">H51/15</f>
        <v>111.6532368</v>
      </c>
      <c r="J51" s="76">
        <f>I51*(IF($J$3="Rockbiter",1+U3,1)+IF(AND($J$3="Rockbiter",$F$11),U3*U4,0))*IF($J$6,0.75,1)*IF($J$7,0.8,1)*IF($F$17,1.02,1)*IF($F$18,0.98,1)*(1+U5)</f>
        <v>82.06512904</v>
      </c>
      <c r="K51" s="18">
        <f t="shared" si="4"/>
        <v>0.06210948651</v>
      </c>
      <c r="L51" s="80">
        <f>(410*(1-($D$10*0.02))*(1-J26*0.2)-($P$17*0.6*450))</f>
        <v>164.9215782</v>
      </c>
      <c r="M51" s="74">
        <f t="shared" si="7"/>
        <v>32.98431563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480.8640947</v>
      </c>
      <c r="G52" s="80">
        <f>(82+(E52*$N$3)+(D52*$N$16)+IF($F$7,30,0))*(1+D9*0.01)*IF(J3="Flametongue",1+(D12*0.1),1)*(1+($D$14*0.05))*(1+($D$17*0.05))*IF($H$18,1.1,1)*IF($H$19,1.15,1)*IF($H$20,1+(0.1*H67),1)*IF(F15,1.1,1)*IF(J26,1.15,1)</f>
        <v>480.8640947</v>
      </c>
      <c r="H52" s="80">
        <f>(AVERAGE(F52,G52))*MIN(IF($H$3=63,0.83+$N$18,0.96+$N$18-(($H$3-60)*0.01)),0.99)*((1-$P$15*0.0025)*$P$13)*5</f>
        <v>2199.392415</v>
      </c>
      <c r="I52" s="75">
        <f t="shared" si="9"/>
        <v>146.626161</v>
      </c>
      <c r="J52" s="76">
        <f>I52*(IF($J$3="Rockbiter",1+U3,1)+IF(AND($J$3="Rockbiter",$F$11),U3*U4,0))*IF($J$6,0.75,1)*IF($J$7,0.8,1)*IF($F$17,1.02,1)*IF($F$18,0.98,1)*(1+U5)</f>
        <v>107.7702283</v>
      </c>
      <c r="K52" s="18">
        <f t="shared" si="4"/>
        <v>0.08156391905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474.4041929</v>
      </c>
      <c r="I55" s="75">
        <f>IF(J4="Searing",H55/C55,0)+IF(J4="Nova+Searing",((H55*(ROUNDDOWN((15-(4-D16))/C55,0)))/15),0)</f>
        <v>189.7616772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0.1055589669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271.6126929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1473.677666</v>
      </c>
      <c r="I57" s="75">
        <f>IF(J4="Nova",(H57/C57)*H4,0)+IF(J4="Nova+Magma",(H57/C57)*H4,0)+IF(J4="Nova+Searing",(H57/C57)*H4,0)</f>
        <v>98.24517777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0.05465096864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17.89582006</v>
      </c>
      <c r="J59" s="75">
        <f>I59*(IF($J$3="Rockbiter",1+U3,1)+IF(AND($J$3="Rockbiter",$F$11),U3*U4,0))*IF($J$6,0.75,1)*IF($J$7,0.8,1)*IF($F$17,1.02,1)*IF($F$18,0.98,1)*(1+U5)</f>
        <v>13.15342774</v>
      </c>
      <c r="K59" s="18">
        <f t="shared" si="12"/>
        <v>0.009954930338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875.5509002</v>
      </c>
      <c r="D61" s="103">
        <f>$H$50*2/15</f>
        <v>232.4159747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401.7103772</v>
      </c>
      <c r="F61" s="103">
        <f>IF(J4="Magma",I56,0)+IF($J$4="Searing",I55,0)+IF($J$4="Nova",I57,0)+B76+B77</f>
        <v>288.0068549</v>
      </c>
      <c r="G61" s="103">
        <f>SUM(C61,D61,E61,F61)</f>
        <v>1797.684107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1791.037566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1195.025651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875.5509002</v>
      </c>
      <c r="D62" s="103">
        <f>$H$50/5</f>
        <v>348.6239621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143.4309794</v>
      </c>
      <c r="F62" s="103">
        <f>IF(J4="Magma",I56,0)+IF($J$4="Searing",I55,0)+IF($J$4="Nova",I57,0)+B76+B77</f>
        <v>288.0068549</v>
      </c>
      <c r="G62" s="103">
        <f>C62+D62+E62+F62</f>
        <v>1655.612697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1648.966156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1133.3096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1281.4413</v>
      </c>
      <c r="C67" s="103">
        <f>(B67*((((60/C43)+(60/C46)+(60/C49)+IF(J3="Windfury",60/C44,0))*(1-P2))*0.08633)/60)</f>
        <v>59.65605312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361.4922547</v>
      </c>
      <c r="C70" s="103">
        <f>((B70/C43)*K66+(B70/C46)*K66+(B70/C49)*K66+IF(J3="Windfury",(B70/C44)*K66,0))*(1-SUM(P2:P3))</f>
        <v>14.03542449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288.0068549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125.5351593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626.5554832</v>
      </c>
      <c r="C112" s="88">
        <f>(60/C43)*0.05+(60/C46)*0.05+(60/C49)*0.05+IF(J3="Windfury",(60/C44)*0.05,0)</f>
        <v>1.713733631</v>
      </c>
      <c r="D112" s="88">
        <f>(B112*C112)/60</f>
        <v>17.89582006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1697.464498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58.58342155</v>
      </c>
    </row>
    <row r="117">
      <c r="A117" s="8" t="s">
        <v>282</v>
      </c>
      <c r="B117" s="75">
        <f>(AVERAGE(493,552)+N15*(2.5/3.5))*1.05*1.1*1.1666*1.05*(1+(N17))*(0.83+N18)*P13</f>
        <v>1607.694243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55.48524267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1740.795774</v>
      </c>
      <c r="C119" s="4"/>
      <c r="D119" s="4"/>
      <c r="E119" s="138">
        <f>E118+(B119*D118/60)</f>
        <v>118.7794184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'Main(manual)'!B2+100</f>
        <v>192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486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1694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0.8469571179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1225.63955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1837.766814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0.3214081057</v>
      </c>
      <c r="C26" s="18">
        <f>1-B26</f>
        <v>0.6785918943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777.9117041</v>
      </c>
      <c r="G43" s="74">
        <f>($F$3+($N$3/E43))*(1+U8)*IF($H$13,1.04,1)*(1-$P$12)+IF($H14,8,0)</f>
        <v>923.5041624</v>
      </c>
      <c r="H43" s="74">
        <f>((AVERAGE(F43,G43)*$P$5*$P$7)+(AVERAGE(F43,G43)*$P$10*2)+(AVERAGE(F43,G43)*$P$8)+((AVERAGE(F43,G43)-$P$6)*$P$4))</f>
        <v>1008.684396</v>
      </c>
      <c r="I43" s="75">
        <f>H43/C43</f>
        <v>338.0438642</v>
      </c>
      <c r="J43" s="76">
        <f>I43*(IF($J$3="Rockbiter",1+U3,1)+IF(AND($J$3="Rockbiter",$F$11),U3*U4,0))*IF($J$6,0.75,1)*IF($J$7,0.8,1)*IF($F$17,1.02,1)*IF($F$18,0.98,1)*(1-U7)*(1+U5)</f>
        <v>248.4622402</v>
      </c>
      <c r="K43" s="18">
        <f t="shared" ref="K43:K52" si="4">I43/$B$23</f>
        <v>0.1839427405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870.9308857</v>
      </c>
      <c r="G44" s="74">
        <f>($F$3+(($N$3+323)/$E$43))*(1+U8)*IF($H$13,1.04,1)*(1-$P$12)+IF($H14,8,0)</f>
        <v>1016.523344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456.2733773</v>
      </c>
      <c r="I45" s="75">
        <f>IF($J$3="Flametongue",(H45/C45)+(H45/C46)+(H45/C49)+IF(F23,((H45/C45)+(H45/C46)+(H45/C49))*K67,0))</f>
        <v>260.6436772</v>
      </c>
      <c r="J45" s="76">
        <f>I45*(IF($J$3="Rockbiter",1+U3,1)+IF(AND($J$3="Rockbiter",$F$11),U3*U4,0))*IF($J$6,0.7,1)*IF($J$7,0.8,1)*IF($F$17,1.02,1)*IF($F$18,0.98,1)*(1-U7)*(1+U5)</f>
        <v>178.8015626</v>
      </c>
      <c r="K45" s="18">
        <f t="shared" si="4"/>
        <v>0.1418263053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504.0867843</v>
      </c>
      <c r="G46" s="79">
        <f>G43*0.6*(1+U8)</f>
        <v>598.4306973</v>
      </c>
      <c r="H46" s="79">
        <f>(AVERAGE(F46,G46)*($P$10+$U$8)*(2*(1+$D$17*0.25))+(AVERAGE(F46,G46)*(1-$P$2-$P$3-$P$4-($P$10+U8)))+((AVERAGE(F46,G46)-$P$6)*$P$4))</f>
        <v>914.7587544</v>
      </c>
      <c r="I46" s="75">
        <f t="shared" ref="I46:I47" si="6">H46/C46</f>
        <v>101.6398616</v>
      </c>
      <c r="J46" s="76">
        <f>I46*(IF($J$3="Rockbiter",1+U3,1)+IF(AND($J$3="Rockbiter",$F$11),U3*U4,0))*IF($J$6,0.75,1)*IF($J$7,0.8,1)*IF($F$17,1.02,1)*IF($F$18,0.98,1)*(1-U7)*(1+U5)</f>
        <v>74.70529828</v>
      </c>
      <c r="K46" s="18">
        <f t="shared" si="4"/>
        <v>0.05530617968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270.4862203</v>
      </c>
      <c r="G47" s="79">
        <f>(($F$3+($N$3/E43))*(0.2)+($D$47*$N$15))*(1+U8)*IF($H$20,1+(0.1*H67),1)*(1+(D17*0.05))*IF(J23,1+U9,1)</f>
        <v>310.4653059</v>
      </c>
      <c r="H47" s="79">
        <f>(AVERAGE(F47,G47)*($P$10+$U$8)*(1.5+($D$17*0.25))+(AVERAGE(F47,G47)*(1-$P$2-$P$3-$P$4-($P$10+U8)))+((AVERAGE(F47,G47)-$P$6)*$P$4))*IF(J23,1+U9,1)</f>
        <v>472.640376</v>
      </c>
      <c r="I47" s="75">
        <f t="shared" si="6"/>
        <v>52.51559734</v>
      </c>
      <c r="J47" s="76">
        <f>I47*(IF($J$3="Rockbiter",1+U3,1)+IF(AND($J$3="Rockbiter",$F$11),U3*U4,0))*IF($J$6,0.75,1)*IF($J$7,0.8,1)*IF($F$17,1.02,1)*IF($F$18,0.98,1)*(1-U7)*(1+U5)</f>
        <v>38.59896404</v>
      </c>
      <c r="K47" s="18">
        <f t="shared" si="4"/>
        <v>0.02857576758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1405.497389</v>
      </c>
      <c r="G48" s="74">
        <f>IF($J$2="Lightning",(198+(D48*N15)+(E48*$N$3))*IF($J$23,1+U9,1)*IF($F$12,1.15,1)*(1+(D17*0.05))*(1+(D9*0.01))*IF($H$20,1+(0.1*H67),1)*IF(J26,1.15,1),0)</f>
        <v>1405.497389</v>
      </c>
      <c r="H48" s="79">
        <f>G48*((1-$P$14*0.0025)*$P$13)*(1-P2-P3)</f>
        <v>1247.182163</v>
      </c>
      <c r="I48" s="75">
        <f>IF(F15,((H48/C48)+(H48/C43)*0.15+(H48/C46)*0.15+(H48/C49)*0.15+IF(J3="Windfury",H48/C44,0)*0.15)*(1-P2),(H48/C48)*(1-P2))</f>
        <v>130.8155513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96.14943023</v>
      </c>
      <c r="K48" s="18">
        <f t="shared" si="4"/>
        <v>0.07118180084</v>
      </c>
      <c r="L48" s="80">
        <f>IF($J$2="Lightning",(182*(1-J26*0.2)),(182*(1-J26*0.2))-(150+($N$3/10)))-($P$17*0.6*182)</f>
        <v>89.51228272</v>
      </c>
      <c r="M48" s="74">
        <f t="shared" ref="M48:M51" si="7">L48/C48</f>
        <v>9.945809191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9">
        <f>$F$43*1.01*(1+U8)</f>
        <v>848.5460869</v>
      </c>
      <c r="G49" s="79">
        <f>$G$43*1.01*(1+U8)</f>
        <v>1007.35834</v>
      </c>
      <c r="H49" s="79">
        <f>(AVERAGE(F49,G49)*($P$10+$U$8)*2)+(AVERAGE(F49,G49)*(1-$P$2-$P$3-$P$4-($P$10+U8)))+((AVERAGE(F49,G49)-$P$6)*$P$4)</f>
        <v>1207.915396</v>
      </c>
      <c r="I49" s="75">
        <f>H49/C49</f>
        <v>150.9894246</v>
      </c>
      <c r="J49" s="76">
        <f>I49*(IF($J$3="Rockbiter",1+U3,1)+IF(AND($J$3="Rockbiter",$F$11),U3*U4,0))*IF($J$6,0.75,1)*IF($J$7,0.8,1)*IF($F$17,1.02,1)*IF($F$18,0.98,1)*(1-U7)*(1+U5)</f>
        <v>110.9772271</v>
      </c>
      <c r="K49" s="18">
        <f t="shared" si="4"/>
        <v>0.0821591855</v>
      </c>
      <c r="L49" s="80">
        <f>(152*(1-J26*0.2))-($P$17*0.6*152)</f>
        <v>74.75751084</v>
      </c>
      <c r="M49" s="74">
        <f t="shared" si="7"/>
        <v>9.344688856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1460.482239</v>
      </c>
      <c r="G50" s="80">
        <f>(520+(E50*$N$3)+(D50*$N$15)+IF(F7,30,0))*(1+(D17*0.05))*(1+(D9*0.01))*IF($J$23,1+U9,1)*IF(F14,1.1,1)*IF(J26,1.15,1)*IF($H$20,1+(0.1*H67),1)</f>
        <v>1502.340683</v>
      </c>
      <c r="H50" s="80">
        <f>(AVERAGE(F50,G50))*(($N$17+$U$8+IF($F$14,0.05,0))*(1.5+($D$17*0.25)))+(AVERAGE(F50,G50))*((MIN(IF($H$3=63,0.83+$N$18,0.96+$N$18-(($H$3-60)*0.01)),0.99))-($N$17+$U$8+IF($F$14,0.05,0)))*((1-$P$14*0.0025)*$P$13)</f>
        <v>1766.652657</v>
      </c>
      <c r="I50" s="75">
        <f>H50*2/15</f>
        <v>235.5536875</v>
      </c>
      <c r="J50" s="76">
        <f>I50*(IF($J$3="Rockbiter",1+U3,1)+IF(AND($J$3="Rockbiter",$F$11),U3*U4,0))*IF($J$6,0.75,1)*IF($J$7,0.8,1)*IF($F$17,1.02,1)*IF($F$18,0.98,1)*1.5*(1+U5)</f>
        <v>259.6979405</v>
      </c>
      <c r="K50" s="18">
        <f t="shared" si="4"/>
        <v>0.1281738716</v>
      </c>
      <c r="L50" s="80">
        <f>(450*(1-($D$10*0.02))*(1-J26*0.2))-($P$17*0.6*450)</f>
        <v>203.3215782</v>
      </c>
      <c r="M50" s="74">
        <f t="shared" si="7"/>
        <v>40.66431563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1429.764949</v>
      </c>
      <c r="G51" s="80">
        <f>(293+(E51*$N$3)+(D51*$N$16)+IF($F$7,30,0))*(1+D9*0.01)*IF(J3="Flametongue",1+(D12*0.1),1)*(1+($D$14*0.05))*(1+($D$17*0.05))*IF($H$18,1.1,1)*IF($H$19,1.15,1)*IF($H$20,1+(0.1*H67),1)*IF(F14,1.1,1)*IF(J26,1.15,1)</f>
        <v>1429.764949</v>
      </c>
      <c r="H51" s="80">
        <f>(AVERAGE(F51,G51))*(($N$17+$U$8+IF($F$14,0.05,0))*(1.5+($D$17*0.25)))+(AVERAGE(F51,G51))*((MIN(IF($H$3=63,0.83+$N$18,0.96+$N$18-(($H$3-60)*0.01)),0.99))-($N$17+$U$8+IF($F$14,0.05,0)))*((1-$P$15*0.0025)*$P$13)</f>
        <v>1705.061768</v>
      </c>
      <c r="I51" s="75">
        <f t="shared" ref="I51:I52" si="9">H51/15</f>
        <v>113.6707846</v>
      </c>
      <c r="J51" s="76">
        <f>I51*(IF($J$3="Rockbiter",1+U3,1)+IF(AND($J$3="Rockbiter",$F$11),U3*U4,0))*IF($J$6,0.75,1)*IF($J$7,0.8,1)*IF($F$17,1.02,1)*IF($F$18,0.98,1)*(1+U5)</f>
        <v>83.54802665</v>
      </c>
      <c r="K51" s="18">
        <f t="shared" si="4"/>
        <v>0.06185267016</v>
      </c>
      <c r="L51" s="80">
        <f>(410*(1-($D$10*0.02))*(1-J26*0.2)-($P$17*0.6*450))</f>
        <v>164.9215782</v>
      </c>
      <c r="M51" s="74">
        <f t="shared" si="7"/>
        <v>32.98431563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485.3423819</v>
      </c>
      <c r="G52" s="80">
        <f>(82+(E52*$N$3)+(D52*$N$16)+IF($F$7,30,0))*(1+D9*0.01)*IF(J3="Flametongue",1+(D12*0.1),1)*(1+($D$14*0.05))*(1+($D$17*0.05))*IF($H$18,1.1,1)*IF($H$19,1.15,1)*IF($H$20,1+(0.1*H67),1)*IF(F15,1.1,1)*IF(J26,1.15,1)</f>
        <v>485.3423819</v>
      </c>
      <c r="H52" s="80">
        <f>(AVERAGE(F52,G52))*MIN(IF($H$3=63,0.83+$N$18,0.96+$N$18-(($H$3-60)*0.01)),0.99)*((1-$P$15*0.0025)*$P$13)*5</f>
        <v>2219.875356</v>
      </c>
      <c r="I52" s="75">
        <f t="shared" si="9"/>
        <v>147.9916904</v>
      </c>
      <c r="J52" s="76">
        <f>I52*(IF($J$3="Rockbiter",1+U3,1)+IF(AND($J$3="Rockbiter",$F$11),U3*U4,0))*IF($J$6,0.75,1)*IF($J$7,0.8,1)*IF($F$17,1.02,1)*IF($F$18,0.98,1)*(1+U5)</f>
        <v>108.7738924</v>
      </c>
      <c r="K52" s="18">
        <f t="shared" si="4"/>
        <v>0.08052800241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474.4041929</v>
      </c>
      <c r="I55" s="75">
        <f>IF(J4="Searing",H55/C55,0)+IF(J4="Nova+Searing",((H55*(ROUNDDOWN((15-(4-D16))/C55,0)))/15),0)</f>
        <v>189.7616772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0.1032566677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271.6126929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1473.677666</v>
      </c>
      <c r="I57" s="75">
        <f>IF(J4="Nova",(H57/C57)*H4,0)+IF(J4="Nova+Magma",(H57/C57)*H4,0)+IF(J4="Nova+Searing",(H57/C57)*H4,0)</f>
        <v>98.24517777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0.05345900091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17.89582006</v>
      </c>
      <c r="J59" s="75">
        <f>I59*(IF($J$3="Rockbiter",1+U3,1)+IF(AND($J$3="Rockbiter",$F$11),U3*U4,0))*IF($J$6,0.75,1)*IF($J$7,0.8,1)*IF($F$17,1.02,1)*IF($F$18,0.98,1)*(1+U5)</f>
        <v>13.15342774</v>
      </c>
      <c r="K59" s="18">
        <f t="shared" si="12"/>
        <v>0.009737807823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903.8324249</v>
      </c>
      <c r="D61" s="103">
        <f>$H$50*2/15</f>
        <v>235.5536875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410.3738463</v>
      </c>
      <c r="F61" s="103">
        <f>IF(J4="Magma",I56,0)+IF($J$4="Searing",I55,0)+IF($J$4="Nova",I57,0)+B76+B77</f>
        <v>288.0068549</v>
      </c>
      <c r="G61" s="103">
        <f>SUM(C61,D61,E61,F61)</f>
        <v>1837.766814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1831.433516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1225.63955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903.8324249</v>
      </c>
      <c r="D62" s="103">
        <f>$H$50/5</f>
        <v>353.3305313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148.7113714</v>
      </c>
      <c r="F62" s="103">
        <f>IF(J4="Magma",I56,0)+IF($J$4="Searing",I55,0)+IF($J$4="Nova",I57,0)+B76+B77</f>
        <v>288.0068549</v>
      </c>
      <c r="G62" s="103">
        <f>C62+D62+E62+F62</f>
        <v>1693.881183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1687.547885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1163.166601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1281.4413</v>
      </c>
      <c r="C67" s="103">
        <f>(B67*((((60/C43)+(60/C46)+(60/C49)+IF(J3="Windfury",60/C44,0))*(1-P2))*0.08633)/60)</f>
        <v>59.65605312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361.4922547</v>
      </c>
      <c r="C70" s="103">
        <f>((B70/C43)*K66+(B70/C46)*K66+(B70/C49)*K66+IF(J3="Windfury",(B70/C44)*K66,0))*(1-SUM(P2:P3))</f>
        <v>14.03542449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288.0068549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130.8155513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626.5554832</v>
      </c>
      <c r="C112" s="88">
        <f>(60/C43)*0.05+(60/C46)*0.05+(60/C49)*0.05+IF(J3="Windfury",(60/C44)*0.05,0)</f>
        <v>1.713733631</v>
      </c>
      <c r="D112" s="88">
        <f>(B112*C112)/60</f>
        <v>17.89582006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1697.464498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58.58342155</v>
      </c>
    </row>
    <row r="117">
      <c r="A117" s="8" t="s">
        <v>282</v>
      </c>
      <c r="B117" s="75">
        <f>(AVERAGE(493,552)+N15*(2.5/3.5))*1.05*1.1*1.1666*1.05*(1+(N17))*(0.83+N18)*P13</f>
        <v>1607.694243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55.48524267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1757.007805</v>
      </c>
      <c r="C119" s="4"/>
      <c r="D119" s="4"/>
      <c r="E119" s="138">
        <f>E118+(B119*D118/60)</f>
        <v>119.338933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'Main(automatic)'!B2+100</f>
        <v>336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721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2307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1042.060095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1614.52169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0.7184365135</v>
      </c>
      <c r="C26" s="18">
        <f>1-B26</f>
        <v>0.2815634865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899.7743691</v>
      </c>
      <c r="G43" s="74">
        <f>($F$3+($N$3/E43))*(1+U8)*IF($H$13,1.04,1)*(1-$P$12)+IF($H14,8,0)</f>
        <v>1033.35699</v>
      </c>
      <c r="H43" s="74">
        <f>((AVERAGE(F43,G43)*$P$5*$P$7)+(AVERAGE(F43,G43)*$P$10*2)+(AVERAGE(F43,G43)*$P$8)+((AVERAGE(F43,G43)-$P$6)*$P$4))</f>
        <v>1343.332982</v>
      </c>
      <c r="I43" s="75">
        <f>H43/C43</f>
        <v>505.0410907</v>
      </c>
      <c r="J43" s="76">
        <f>I43*(IF($J$3="Rockbiter",1+U3,1)+IF(AND($J$3="Rockbiter",$F$11),U3*U4,0))*IF($J$6,0.75,1)*IF($J$7,0.8,1)*IF($F$17,1.02,1)*IF($F$18,0.98,1)*(1-U7)*(1+U5)</f>
        <v>284.1234916</v>
      </c>
      <c r="K43" s="18">
        <f t="shared" ref="K43:K52" si="4">I43/$B$23</f>
        <v>0.3128115861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989.2501018</v>
      </c>
      <c r="G44" s="74">
        <f>($F$3+(($N$3+323)/$E$43))*(1+U8)*IF($H$13,1.04,1)*(1-$P$12)+IF($H14,8,0)</f>
        <v>1122.832723</v>
      </c>
      <c r="H44" s="74">
        <f>((AVERAGE(F44,G44)*$P$5*$P$7)+(AVERAGE(F44,G44)*$P$10*2)+(AVERAGE(F44,G44)*$P$8)+((AVERAGE(F44,G44)-$P$6)*$P$4))*IF(J3="Windfury",1,0)</f>
        <v>1467.686355</v>
      </c>
      <c r="I44" s="75">
        <f>IF($J$3="Windfury",(H44/C44),0)</f>
        <v>340.2874764</v>
      </c>
      <c r="J44" s="76">
        <f>I44*(IF($J$3="Rockbiter",1+U3,1)+IF(AND($J$3="Rockbiter",$F$11),U3*U4,0))*IF($J$6,0.7,1)*IF($J$7,0.8,1)*IF($F$17,1.02,1)*IF($F$18,0.98,1)*(1-U7)*(1+U5)</f>
        <v>178.6747452</v>
      </c>
      <c r="K44" s="18">
        <f t="shared" si="4"/>
        <v>0.2107667419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115.4269933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593.8510836</v>
      </c>
      <c r="G46" s="74">
        <f>G43*0.6*(1+U8)</f>
        <v>682.0156136</v>
      </c>
      <c r="H46" s="79">
        <f>(AVERAGE(F46,G46)*($P$10+$U$8)*(2*(1+$D$17*0.25))+(AVERAGE(F46,G46)*(1-$P$2-$P$3-$P$4-($P$10+U8)))+((AVERAGE(F46,G46)-$P$6)*$P$4))</f>
        <v>978.4621701</v>
      </c>
      <c r="I46" s="75">
        <f t="shared" ref="I46:I47" si="6">H46/C46</f>
        <v>108.7180189</v>
      </c>
      <c r="J46" s="76">
        <f>I46*(IF($J$3="Rockbiter",1+U3,1)+IF(AND($J$3="Rockbiter",$F$11),U3*U4,0))*IF($J$6,0.75,1)*IF($J$7,0.8,1)*IF($F$17,1.02,1)*IF($F$18,0.98,1)*(1-U7)*(1+U5)</f>
        <v>61.16203948</v>
      </c>
      <c r="K46" s="18">
        <f t="shared" si="4"/>
        <v>0.06733760193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234.1566071</v>
      </c>
      <c r="G47" s="74">
        <f>(($F$3+($N$3/E43))*(0.2)+($D$47*$N$15))*(1+U8)*IF($H$20,1+(0.1*H67),1)*(1+(D17*0.05))*IF(J23,1+U9,1)</f>
        <v>268.2566071</v>
      </c>
      <c r="H47" s="79">
        <f>(AVERAGE(F47,G47)*($P$10+$U$8)*(1.5+($D$17*0.25))+(AVERAGE(F47,G47)*(1-$P$2-$P$3-$P$4-($P$10+U8)))+((AVERAGE(F47,G47)-$P$6)*$P$4))*IF(J23,1+U9,1)</f>
        <v>389.4958444</v>
      </c>
      <c r="I47" s="75">
        <f t="shared" si="6"/>
        <v>43.27731604</v>
      </c>
      <c r="J47" s="76">
        <f>I47*(IF($J$3="Rockbiter",1+U3,1)+IF(AND($J$3="Rockbiter",$F$11),U3*U4,0))*IF($J$6,0.75,1)*IF($J$7,0.8,1)*IF($F$17,1.02,1)*IF($F$18,0.98,1)*(1-U7)*(1+U5)</f>
        <v>24.34673607</v>
      </c>
      <c r="K47" s="18">
        <f t="shared" si="4"/>
        <v>0.02680503848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1195.387266</v>
      </c>
      <c r="G48" s="74">
        <f>IF($J$2="Lightning",(198+(D48*N15)+(E48*$N$3))*IF($J$23,1+U9,1)*IF($F$12,1.15,1)*(1+(D17*0.05))*(1+(D9*0.01))*IF($H$20,1+(0.1*H67),1)*IF(J26,1.15,1),0)</f>
        <v>1195.387266</v>
      </c>
      <c r="H48" s="79">
        <f>G48*((1-$P$14*0.0025)*$P$13)*(1-P2-P3)</f>
        <v>1064.109836</v>
      </c>
      <c r="I48" s="75">
        <f>IF(F15,((H48/C48)+(H48/C43)*0.15+(H48/C46)*0.15+(H48/C49)*0.15+IF(J3="Windfury",H48/C44,0)*0.15)*(1-P2),(H48/C48)*(1-P2))</f>
        <v>111.9680016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83.97600123</v>
      </c>
      <c r="K48" s="18">
        <f t="shared" si="4"/>
        <v>0.06935057132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999.6493241</v>
      </c>
      <c r="G49" s="74">
        <f>$G$43*1.01*(1+U8)</f>
        <v>1148.059616</v>
      </c>
      <c r="H49" s="79">
        <f>(AVERAGE(F49,G49)*($P$10+$U$8)*2)+(AVERAGE(F49,G49)*(1-$P$2-$P$3-$P$4-($P$10+U8)))+((AVERAGE(F49,G49)-$P$6)*$P$4)</f>
        <v>1647.077986</v>
      </c>
      <c r="I49" s="75">
        <f>H49/C49</f>
        <v>205.8847483</v>
      </c>
      <c r="J49" s="76">
        <f>I49*(IF($J$3="Rockbiter",1+U3,1)+IF(AND($J$3="Rockbiter",$F$11),U3*U4,0))*IF($J$6,0.75,1)*IF($J$7,0.8,1)*IF($F$17,1.02,1)*IF($F$18,0.98,1)*(1-U7)*(1+U5)</f>
        <v>115.8256123</v>
      </c>
      <c r="K49" s="18">
        <f t="shared" si="4"/>
        <v>0.1275205836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1079.621813</v>
      </c>
      <c r="G50" s="80">
        <f>(520+(E50*$N$3)+(D50*$N$15)+IF(F7,30,0))*(1+(D17*0.05))*(1+(D9*0.01))*IF($J$23,1+U9,1)*IF(F14,1.1,1)*IF(J26,1.15,1)*IF($H$20,1+(0.1*H67),1)</f>
        <v>1120.046813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1133.60416</v>
      </c>
      <c r="I50" s="75">
        <f>H50*2/15</f>
        <v>151.1472213</v>
      </c>
      <c r="J50" s="76">
        <f>I50*(IF($J$3="Rockbiter",1+U3,1)+IF(AND($J$3="Rockbiter",$F$11),U3*U4,0))*IF($J$6,0.75,1)*IF($J$7,0.8,1)*IF($F$17,1.02,1)*IF($F$18,0.98,1)*1.5*(1+U5)</f>
        <v>170.040624</v>
      </c>
      <c r="K50" s="18">
        <f t="shared" si="4"/>
        <v>0.09361733709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789.5042954</v>
      </c>
      <c r="G51" s="80">
        <f>(293+(E51*$N$3)+(D51*$N$16)+IF($F$7,30,0))*(1+D9*0.01)*IF(J3="Flametongue",1+(D12*0.1),1)*(1+($D$14*0.05))*(1+($D$17*0.05))*IF($H$18,1.1,1)*IF($H$19,1.15,1)*IF($H$20,1+(0.1*H67),1)*IF(F14,1.1,1)*IF(J26,1.15,1)</f>
        <v>789.5042954</v>
      </c>
      <c r="H51" s="80">
        <f>(AVERAGE(F51,G51))*(($N$17+$U$8+IF($F$14,0.05,0))*(1.5+($D$17*0.25)))+(AVERAGE(F51,G51))*((MIN(IF($H$3=63,0.83+$N$18,0.96+$N$18-(($H$3-60)*0.01)),0.99))-($N$17+$U$8+IF($F$14,0.05,0)))*((1-$P$15*0.0025)*$P$13)</f>
        <v>665.3855856</v>
      </c>
      <c r="I51" s="75">
        <f t="shared" ref="I51:I52" si="9">H51/15</f>
        <v>44.35903904</v>
      </c>
      <c r="J51" s="76">
        <f>I51*(IF($J$3="Rockbiter",1+U3,1)+IF(AND($J$3="Rockbiter",$F$11),U3*U4,0))*IF($J$6,0.75,1)*IF($J$7,0.8,1)*IF($F$17,1.02,1)*IF($F$18,0.98,1)*(1+U5)</f>
        <v>33.26927928</v>
      </c>
      <c r="K51" s="18">
        <f t="shared" si="4"/>
        <v>0.02747503443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171.8297254</v>
      </c>
      <c r="G52" s="79">
        <f>(82+(E52*$N$3)+(D52*$N$16)+IF($F$7,30,0))*(1+D9*0.01)*IF(J3="Flametongue",1+(D12*0.1),1)*(1+($D$14*0.05))*(1+($D$17*0.05))*IF($H$18,1.1,1)*IF($H$19,1.15,1)*IF($H$20,1+(0.1*H67),1)*IF(J26,1.15,1)</f>
        <v>171.8297254</v>
      </c>
      <c r="H52" s="80">
        <f>(AVERAGE(F52,G52))*MIN(IF($H$3=63,0.83+$N$18,0.96+$N$18-(($H$3-60)*0.01)),0.99)*((1-$P$15*0.0025)*$P$13)*5</f>
        <v>561.2283042</v>
      </c>
      <c r="I52" s="75">
        <f t="shared" si="9"/>
        <v>37.41522028</v>
      </c>
      <c r="J52" s="76">
        <f>I52*(IF($J$3="Rockbiter",1+U3,1)+IF(AND($J$3="Rockbiter",$F$11),U3*U4,0))*IF($J$6,0.75,1)*IF($J$7,0.8,1)*IF($F$17,1.02,1)*IF($F$18,0.98,1)*(1+U5)</f>
        <v>28.06141521</v>
      </c>
      <c r="K52" s="18">
        <f t="shared" si="4"/>
        <v>0.02317418248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0.04114132266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57.02097072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88.25890255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512.4857863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1203.20865</v>
      </c>
      <c r="D61" s="103">
        <f>$H$50*2/15</f>
        <v>151.1472213</v>
      </c>
      <c r="E61" s="103">
        <f>IF($H$6,IF($J$2="Lightning",$H$53/$H$7,0),0)+IF(J2="Lightning",I48,0)+(($H$51+$H$52)/15)+IF(F21,C66,0)+IF(F22,C67,0)+IF(F9,IF(H6,C69,0),0)+IF(F23,C68,0)+IF(F24,C70,0)</f>
        <v>260.1658188</v>
      </c>
      <c r="F61" s="103">
        <f>IF(J4="Magma",I56,0)+IF($J$4="Searing",I55,0)+IF($J$4="Nova",I57,0)+B76+B77</f>
        <v>0</v>
      </c>
      <c r="G61" s="103">
        <f>SUM(C61,D61,E61,F61)</f>
        <v>1614.52169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1620.788115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1042.060095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1203.20865</v>
      </c>
      <c r="D62" s="103">
        <f>$H$50/5</f>
        <v>226.720832</v>
      </c>
      <c r="E62" s="103">
        <f>IF($H$6,IF($J$2="Lightning",$H$53/$H$7,0),0)+IF(J2="Lightning",I48,0)+IF(F21,C66,0)+IF(F22,C67,0)+IF(F9,IF(H6,C69,0),0)+IF(F24,C70,0)</f>
        <v>178.3915595</v>
      </c>
      <c r="F62" s="103">
        <f>IF(J4="Magma",I56,0)+IF($J$4="Searing",I55,0)+IF($J$4="Nova",I57,0)+B76+B77</f>
        <v>0</v>
      </c>
      <c r="G62" s="103">
        <f>C62+D62+E62+F62</f>
        <v>1608.321042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1614.587466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1065.749712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111.9680016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0.3180568995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0.4246256251</v>
      </c>
      <c r="T3" s="8" t="s">
        <v>27</v>
      </c>
      <c r="U3" s="21">
        <v>0.35</v>
      </c>
    </row>
    <row r="4">
      <c r="A4" s="8" t="s">
        <v>28</v>
      </c>
      <c r="B4" s="9">
        <f>'Main(manual)'!B4+100</f>
        <v>177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406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0.3652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0.2165541999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0.2088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0.3352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14178.79775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740.1307253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772.1307253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0.8639520606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0.8868117378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0.1477556855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0.7513559359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47.51860591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1199.518452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0.4934145856</v>
      </c>
      <c r="V22" s="42"/>
      <c r="W22" s="42"/>
    </row>
    <row r="23">
      <c r="A23" s="40" t="s">
        <v>163</v>
      </c>
      <c r="B23" s="43">
        <f>$G$61</f>
        <v>1805.695128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0.8044911435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0.4780981427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0.3182998262</v>
      </c>
      <c r="C26" s="18">
        <f>1-B26</f>
        <v>0.6817001738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2.959177651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974.538754</v>
      </c>
      <c r="I43" s="75">
        <f>H43/C43</f>
        <v>329.3275595</v>
      </c>
      <c r="J43" s="76">
        <f>I43*(IF($J$3="Rockbiter",1+U3,1)+IF(AND($J$3="Rockbiter",$F$11),U3*U4,0))*IF($J$6,0.75,1)*IF($J$7,0.8,1)*IF($F$17,1.02,1)*IF($F$18,0.98,1)*(1-U7)*(1+U5)</f>
        <v>242.0557562</v>
      </c>
      <c r="K43" s="18">
        <f t="shared" ref="K43:K52" si="4">I43/$B$23</f>
        <v>0.1823827036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2.959177651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395.1352197</v>
      </c>
      <c r="G45" s="74">
        <f>(29.5*$F$4+(D45*$N$16))*(1+IF(J3="Flametongue",0.1*$D$12,0))*(1+($D$14*0.05))*(1+($D$17*0.05))*IF($H$18,1.1,1)*IF($H$19,1.15,1)*IF($H$20,1+(0.1*H67),1)*IF(F27,1.45,1)</f>
        <v>395.1352197</v>
      </c>
      <c r="H45" s="74">
        <f>(AVERAGE(F45,G45))*(($N$17+$U$8)*(1.5+($D$17*0.25)))+(AVERAGE(F45,G45))*((MIN(IF($H$3=63,0.83+$N$18,0.96+$N$18-(($H$3-60)*0.01)),0.99))-($N$17+$U$8))*((1-$P$15*0.0025)*$P$13)*(1-P2-P3)</f>
        <v>458.0392116</v>
      </c>
      <c r="I45" s="75">
        <f>IF($J$3="Flametongue",(H45/C45)+(H45/C46)+(H45/C49)+IF(F23,((H45/C45)+(H45/C46)+(H45/C49))*K67,0))</f>
        <v>262.9341268</v>
      </c>
      <c r="J45" s="76">
        <f>I45*(IF($J$3="Rockbiter",1+U3,1)+IF(AND($J$3="Rockbiter",$F$11),U3*U4,0))*IF($J$6,0.7,1)*IF($J$7,0.8,1)*IF($F$17,1.02,1)*IF($F$18,0.98,1)*(1-U7)*(1+U5)</f>
        <v>180.372811</v>
      </c>
      <c r="K45" s="18">
        <f t="shared" si="4"/>
        <v>0.1456137986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901.3317039</v>
      </c>
      <c r="I46" s="75">
        <f t="shared" ref="I46:I47" si="6">H46/C46</f>
        <v>100.1479671</v>
      </c>
      <c r="J46" s="76">
        <f>I46*(IF($J$3="Rockbiter",1+U3,1)+IF(AND($J$3="Rockbiter",$F$11),U3*U4,0))*IF($J$6,0.75,1)*IF($J$7,0.8,1)*IF($F$17,1.02,1)*IF($F$18,0.98,1)*(1-U7)*(1+U5)</f>
        <v>73.60875581</v>
      </c>
      <c r="K46" s="18">
        <f t="shared" si="4"/>
        <v>0.05546227905</v>
      </c>
      <c r="L46" s="80">
        <f>IF($J$2="Lightning",(182*(1-J26*0.2)),(182*(1-J26*0.2))-(150+($N$3/10)))-($P$17*0.6*182)</f>
        <v>85.16015823</v>
      </c>
      <c r="M46" s="74">
        <f>L46/C46</f>
        <v>9.462239803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252.2019255</v>
      </c>
      <c r="G47" s="79">
        <f>(($F$3+($N$3/E43))*(0.2)+($D$47*$N$15))*(1+U8)*IF($H$20,1+(0.1*H67),1)*(1+(D17*0.05))*IF(J23,1+U9,1)</f>
        <v>292.1863504</v>
      </c>
      <c r="H47" s="79">
        <f>(AVERAGE(F47,G47)*($P$10+$U$8)*(1.5+($D$17*0.25))+(AVERAGE(F47,G47)*(1-$P$2-$P$3-$P$4-($P$10+U8)))+((AVERAGE(F47,G47)-$P$6)*$P$4))*IF(J23,1+U9,1)</f>
        <v>462.4578404</v>
      </c>
      <c r="I47" s="75">
        <f t="shared" si="6"/>
        <v>51.38420449</v>
      </c>
      <c r="J47" s="76">
        <f>I47*(IF($J$3="Rockbiter",1+U3,1)+IF(AND($J$3="Rockbiter",$F$11),U3*U4,0))*IF($J$6,0.75,1)*IF($J$7,0.8,1)*IF($F$17,1.02,1)*IF($F$18,0.98,1)*(1-U7)*(1+U5)</f>
        <v>37.7673903</v>
      </c>
      <c r="K47" s="18">
        <f t="shared" si="4"/>
        <v>0.02845674426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1306.127735</v>
      </c>
      <c r="G48" s="74">
        <f>IF($J$2="Lightning",(198+(D48*N15)+(E48*$N$3))*IF($J$23,1+U9,1)*IF($F$12,1.15,1)*(1+(D17*0.05))*(1+(D9*0.01))*IF($H$20,1+(0.1*H67),1)*IF(J26,1.15,1),0)</f>
        <v>1306.127735</v>
      </c>
      <c r="H48" s="79">
        <f>G48*((1-$P$14*0.0025)*$P$13)*(1-P2-P3)</f>
        <v>1159.005507</v>
      </c>
      <c r="I48" s="75">
        <f>IF(F15,((H48/C48)+(H48/C43)*0.15+(H48/C46)*0.15+(H48/C49)*0.15+IF(J3="Windfury",H48/C44,0)*0.15)*(1-P2),(H48/C48)*(1-P2))</f>
        <v>121.5667998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89.35159787</v>
      </c>
      <c r="K48" s="18">
        <f t="shared" si="4"/>
        <v>0.06732410024</v>
      </c>
      <c r="L48" s="80">
        <f>IF($J$2="Lightning",(182*(1-J26*0.2)),(182*(1-J26*0.2))-(150+($N$3/10)))-($P$17*0.6*182)</f>
        <v>85.16015823</v>
      </c>
      <c r="M48" s="74">
        <f t="shared" ref="M48:M51" si="7">L48/C48</f>
        <v>9.462239803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9">
        <f>$F$43*1.01*(1+U8)</f>
        <v>775.6669692</v>
      </c>
      <c r="G49" s="79">
        <f>$G$43*1.01*(1+U8)</f>
        <v>934.4792227</v>
      </c>
      <c r="H49" s="79">
        <f>(AVERAGE(F49,G49)*($P$10+$U$8)*2)+(AVERAGE(F49,G49)*(1-$P$2-$P$3-$P$4-($P$10+U8)))+((AVERAGE(F49,G49)-$P$6)*$P$4)</f>
        <v>1162.215352</v>
      </c>
      <c r="I49" s="75">
        <f>H49/C49</f>
        <v>145.276919</v>
      </c>
      <c r="J49" s="76">
        <f>I49*(IF($J$3="Rockbiter",1+U3,1)+IF(AND($J$3="Rockbiter",$F$11),U3*U4,0))*IF($J$6,0.75,1)*IF($J$7,0.8,1)*IF($F$17,1.02,1)*IF($F$18,0.98,1)*(1-U7)*(1+U5)</f>
        <v>106.7785355</v>
      </c>
      <c r="K49" s="18">
        <f t="shared" si="4"/>
        <v>0.08045484352</v>
      </c>
      <c r="L49" s="80">
        <f>(152*(1-J26*0.2))-($P$17*0.6*152)</f>
        <v>71.12276951</v>
      </c>
      <c r="M49" s="74">
        <f t="shared" si="7"/>
        <v>8.890346189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1426.203686</v>
      </c>
      <c r="G50" s="80">
        <f>(520+(E50*$N$3)+(D50*$N$15)+IF(F7,30,0))*(1+(D17*0.05))*(1+(D9*0.01))*IF($J$23,1+U9,1)*IF(F14,1.1,1)*IF(J26,1.15,1)*IF($H$20,1+(0.1*H67),1)</f>
        <v>1468.067721</v>
      </c>
      <c r="H50" s="80">
        <f>(AVERAGE(F50,G50))*(($N$17+$U$8+IF($F$14,0.05,0))*(1.5+($D$17*0.25)))+(AVERAGE(F50,G50))*((MIN(IF($H$3=63,0.83+$N$18,0.96+$N$18-(($H$3-60)*0.01)),0.99))-($N$17+$U$8+IF($F$14,0.05,0)))*((1-$P$14*0.0025)*$P$13)</f>
        <v>1732.034042</v>
      </c>
      <c r="I50" s="75">
        <f>H50*2/15</f>
        <v>230.9378723</v>
      </c>
      <c r="J50" s="76">
        <f>I50*(IF($J$3="Rockbiter",1+U3,1)+IF(AND($J$3="Rockbiter",$F$11),U3*U4,0))*IF($J$6,0.75,1)*IF($J$7,0.8,1)*IF($F$17,1.02,1)*IF($F$18,0.98,1)*1.5*(1+U5)</f>
        <v>254.6090042</v>
      </c>
      <c r="K50" s="18">
        <f t="shared" si="4"/>
        <v>0.1278941659</v>
      </c>
      <c r="L50" s="80">
        <f>(450*(1-($D$10*0.02))*(1-J26*0.2))-($P$17*0.6*450)</f>
        <v>192.5608308</v>
      </c>
      <c r="M50" s="74">
        <f t="shared" si="7"/>
        <v>38.51216616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1385.52729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1385.52729</v>
      </c>
      <c r="H51" s="80">
        <f>(AVERAGE(F51,G51))*(($N$17+$U$8+IF($F$14,0.05,0))*(1.5+($D$17*0.25)))+(AVERAGE(F51,G51))*((MIN(IF($H$3=63,0.83+$N$18,0.96+$N$18-(($H$3-60)*0.01)),0.99))-($N$17+$U$8+IF($F$14,0.05,0)))*((1-$P$15*0.0025)*$P$13)</f>
        <v>1658.296749</v>
      </c>
      <c r="I51" s="75">
        <f t="shared" ref="I51:I52" si="9">H51/15</f>
        <v>110.5531166</v>
      </c>
      <c r="J51" s="76">
        <f>I51*(IF($J$3="Rockbiter",1+U3,1)+IF(AND($J$3="Rockbiter",$F$11),U3*U4,0))*IF($J$6,0.75,1)*IF($J$7,0.8,1)*IF($F$17,1.02,1)*IF($F$18,0.98,1)*(1+U5)</f>
        <v>81.25654069</v>
      </c>
      <c r="K51" s="18">
        <f t="shared" si="4"/>
        <v>0.06122468563</v>
      </c>
      <c r="L51" s="80">
        <f>(410*(1-($D$10*0.02))*(1-J26*0.2)-($P$17*0.6*450))</f>
        <v>154.1608308</v>
      </c>
      <c r="M51" s="74">
        <f t="shared" si="7"/>
        <v>30.83216616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477.6189961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477.6189961</v>
      </c>
      <c r="H52" s="80">
        <f>(AVERAGE(F52,G52))*MIN(IF($H$3=63,0.83+$N$18,0.96+$N$18-(($H$3-60)*0.01)),0.99)*((1-$P$15*0.0025)*$P$13)*5</f>
        <v>2194.875038</v>
      </c>
      <c r="I52" s="75">
        <f t="shared" si="9"/>
        <v>146.3250025</v>
      </c>
      <c r="J52" s="76">
        <f>I52*(IF($J$3="Rockbiter",1+U3,1)+IF(AND($J$3="Rockbiter",$F$11),U3*U4,0))*IF($J$6,0.75,1)*IF($J$7,0.8,1)*IF($F$17,1.02,1)*IF($F$18,0.98,1)*(1+U5)</f>
        <v>107.5488769</v>
      </c>
      <c r="K52" s="18">
        <f t="shared" si="4"/>
        <v>0.08103527568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591.5012861</v>
      </c>
      <c r="G53" s="74">
        <f>(198+($N$15*$D$53))*(1+(D17*0.05))*(1+(D9*0.01))*IF(J26,1.15,1)*IF($H$20,1+(0.1*H67),1)*IF(J23,1+U9,1)</f>
        <v>591.5012861</v>
      </c>
      <c r="H53" s="74">
        <f>F53*((1-$P$14*0.0025)*$P$13)</f>
        <v>556.0112089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382.1661648</v>
      </c>
      <c r="G55" s="74">
        <f>(54+(D55*$N$16))*(1+($D$14*0.05))*(1+(IF(J3="Flametongue",($D$12*0.1),0)))*(1+($D$17*0.05))*(1+($D$9*0.01))*IF($H$18,1.1,1)*IF($H$19,1.15,1)*IF($H$20,1+(0.1*H67),1)</f>
        <v>413.8350511</v>
      </c>
      <c r="H55" s="80">
        <f t="shared" ref="H55:H57" si="11">(AVERAGE(F55,G55))*(($N$17+$U$8)*(1.5+($D$17*0.25)))+(AVERAGE(F55,G55))*((MIN(IF($H$3=63,0.83+$N$18,0.96+$N$18-(($H$3-60)*0.01)),0.99))-($N$17+$U$8))*((1-$P$15*0.0025)*$P$13)</f>
        <v>476.3551892</v>
      </c>
      <c r="I55" s="75">
        <f>IF(J4="Searing",H55/C55,0)+IF(J4="Nova+Searing",((H55*(ROUNDDOWN((15-(4-D16))/C55,0)))/15),0)</f>
        <v>190.5420757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0.1055228386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227.8168134</v>
      </c>
      <c r="G56" s="74">
        <f>(75+(D56*$N$16))*(1+($D$14*0.05))*(1+(IF(J3="Flametongue",($D$12*0.1),0)))*(1+($D$17*0.05))*(1+($D$9*0.01))*IF($H$18,1.1,1)*IF($H$19,1.15,1)*IF($H$20,1+(0.1*H67),1)</f>
        <v>227.8168134</v>
      </c>
      <c r="H56" s="80">
        <f t="shared" si="11"/>
        <v>272.6672249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1183.997171</v>
      </c>
      <c r="G57" s="74">
        <f>(459+(D57*$N$16))*(1+($D$14*0.05))*(1+(IF(J3="Flametongue",($D$12*0.1),0)))*(1+($D$17*0.05))*(1+($D$9*0.01))*IF($H$18,1.1,1)*IF($H$19,1.15,1)*IF($H$20,1+(0.1*H67),1)</f>
        <v>1288.052083</v>
      </c>
      <c r="H57" s="80">
        <f t="shared" si="11"/>
        <v>1479.361421</v>
      </c>
      <c r="I57" s="75">
        <f>IF(J4="Nova",(H57/C57)*H4,0)+IF(J4="Nova+Magma",(H57/C57)*H4,0)+IF(J4="Nova+Searing",(H57/C57)*H4,0)</f>
        <v>98.62409476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0.05461835346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18.07538992</v>
      </c>
      <c r="J59" s="75">
        <f>I59*(IF($J$3="Rockbiter",1+U3,1)+IF(AND($J$3="Rockbiter",$F$11),U3*U4,0))*IF($J$6,0.75,1)*IF($J$7,0.8,1)*IF($F$17,1.02,1)*IF($F$18,0.98,1)*(1+U5)</f>
        <v>13.28541159</v>
      </c>
      <c r="K59" s="18">
        <f t="shared" si="12"/>
        <v>0.01001021138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889.0707769</v>
      </c>
      <c r="D61" s="103">
        <f>$H$50*2/15</f>
        <v>230.9378723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396.5203089</v>
      </c>
      <c r="F61" s="103">
        <f>IF(J4="Magma",I56,0)+IF($J$4="Searing",I55,0)+IF($J$4="Nova",I57,0)+B76+B77</f>
        <v>289.1661705</v>
      </c>
      <c r="G61" s="103">
        <f>SUM(C61,D61,E61,F61)</f>
        <v>1805.695128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1798.648322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1199.518452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889.0707769</v>
      </c>
      <c r="D62" s="103">
        <f>$H$50/5</f>
        <v>346.4068085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139.6421897</v>
      </c>
      <c r="F62" s="103">
        <f>IF(J4="Magma",I56,0)+IF($J$4="Searing",I55,0)+IF($J$4="Nova",I57,0)+B76+B77</f>
        <v>289.1661705</v>
      </c>
      <c r="G62" s="103">
        <f>C62+D62+E62+F62</f>
        <v>1664.285946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1657.239139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1138.017537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746.518681</v>
      </c>
      <c r="C66" s="112">
        <f>(B66*((((60/C43)+(60/C46)+(60/C49)+IF(J3="Windfury",60/C44,0))*1-$P$2)*0.185))/60</f>
        <v>79.14983537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1287.448741</v>
      </c>
      <c r="C67" s="103">
        <f>(B67*((((60/C43)+(60/C46)+(60/C49)+IF(J3="Windfury",60/C44,0))*(1-P2))*0.08633)/60)</f>
        <v>60.22932297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0.3559763983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346.1450326</v>
      </c>
      <c r="C68" s="103">
        <f>((B68/C43)*K67+(B68/C46)*K67+(B68/C49)*K67+IF(J3="Windfury",(B68/C44)*K67,0))*(1-SUM(P2:P3))</f>
        <v>12.75508362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36.94595678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363.2884726</v>
      </c>
      <c r="C70" s="103">
        <f>((B70/C43)*K66+(B70/C46)*K66+(B70/C49)*K66+IF(J3="Windfury",(B70/C44)*K66,0))*(1-SUM(P2:P3))</f>
        <v>14.17426042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31.79053919</v>
      </c>
      <c r="B72" s="8">
        <v>0.0</v>
      </c>
      <c r="C72" s="88">
        <f>(60/C46)*(1-P2)</f>
        <v>6.293333333</v>
      </c>
      <c r="D72" s="88">
        <f>(60/5)*(0.83+$N$18)</f>
        <v>11.73306823</v>
      </c>
      <c r="E72" s="88">
        <f>IF($F$23,$A$72*0.08,0)</f>
        <v>0</v>
      </c>
      <c r="F72" s="88">
        <f>$A$72*($F$26*1)</f>
        <v>31.79053919</v>
      </c>
      <c r="G72" s="88">
        <f>SUM(A72:E72)</f>
        <v>49.81694075</v>
      </c>
      <c r="H72" s="88">
        <f>SUM(A72:F72)</f>
        <v>81.60747995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289.1661705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1103.426921</v>
      </c>
      <c r="C86" s="130">
        <f>IF(AND(J3="Flametongue",F26=0),A72*0.2,0)+IF(AND(J3="Flametongue",F26=1),A72*0.36,0)+IF(AND(J3="Flametongue",F26=2),A72*0.488,0)+IF(AND(J3="Flametongue",F26=3),A72*0.5904,0)+D72*0.2</f>
        <v>13.79120775</v>
      </c>
      <c r="D86" s="132">
        <f>(B86*C86/60)*(0.83+N18)*P13*((1-$P$15*0.0025))</f>
        <v>233.1056659</v>
      </c>
      <c r="E86" s="132">
        <f>(B86*C86/60)*(1-(F86*0.0025))*(0.88)</f>
        <v>119.9653338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121.5667998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629.7575327</v>
      </c>
      <c r="C112" s="88">
        <f>(60/C43)*0.05+(60/C46)*0.05+(60/C49)*0.05+IF(J3="Windfury",(60/C44)*0.05,0)</f>
        <v>1.7221285</v>
      </c>
      <c r="D112" s="88">
        <f>(B112*C112)/60</f>
        <v>18.07538992</v>
      </c>
      <c r="E112" s="88">
        <f>0.33*IF(J3="Flametongue",1.3,1)*(1+(0.05*D12))*(1+(N17/2))*(0.83+N18)*P13*(1-SUM(P2:P3))*IF(H18,1.1,1)*IF(H19,1.15,1)*IF(H20,1.1,1)</f>
        <v>0.6498372286</v>
      </c>
      <c r="F112" s="88">
        <f>(E112*C112)/60</f>
        <v>0.0186517202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1705.975404</v>
      </c>
      <c r="C116" s="88">
        <f t="shared" ref="C116:C118" si="13">2.4/(60/1.6)</f>
        <v>0.064</v>
      </c>
      <c r="D116" s="75">
        <f>C116*(60/C43+IF(J3="Windfury",60/C44,0)+60/C46+60/C49)*(1-P2)</f>
        <v>2.080882309</v>
      </c>
      <c r="E116" s="75">
        <f t="shared" ref="E116:E118" si="14">B116*D116/60</f>
        <v>59.1655673</v>
      </c>
    </row>
    <row r="117">
      <c r="A117" s="8" t="s">
        <v>282</v>
      </c>
      <c r="B117" s="75">
        <f>(AVERAGE(493,552)+N15*(2.5/3.5))*1.05*1.1*1.1666*1.05*(1+(N17))*(0.83+N18)*P13</f>
        <v>1615.699534</v>
      </c>
      <c r="C117" s="88">
        <f t="shared" si="13"/>
        <v>0.064</v>
      </c>
      <c r="D117" s="75">
        <f>C116*(60/C43+IF(J3="Windfury",60/C44,0)+60/C46+60/C49)*(1-P2)</f>
        <v>2.080882309</v>
      </c>
      <c r="E117" s="75">
        <f t="shared" si="14"/>
        <v>56.03467628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1701.563732</v>
      </c>
      <c r="C118" s="139">
        <f t="shared" si="13"/>
        <v>0.064</v>
      </c>
      <c r="D118" s="138">
        <f>C116*(60/C43+IF(J3="Windfury",60/C44,0)+60/C46+60/C49)*(1-P2)</f>
        <v>2.080882309</v>
      </c>
      <c r="E118" s="138">
        <f t="shared" si="14"/>
        <v>59.01256448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1745.431202</v>
      </c>
      <c r="C119" s="4"/>
      <c r="D119" s="4"/>
      <c r="E119" s="138">
        <f>E118+(B119*D118/60)</f>
        <v>119.546513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606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0.499622708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2077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0.5580697062</v>
      </c>
      <c r="T3" s="8" t="s">
        <v>27</v>
      </c>
      <c r="U3" s="21">
        <v>0.35</v>
      </c>
    </row>
    <row r="4">
      <c r="A4" s="8" t="s">
        <v>28</v>
      </c>
      <c r="B4" s="142">
        <f>'Main(automatic)'!B4+100</f>
        <v>295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585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0.5743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0.3573037841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0.0027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0.5443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16702.34194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0.9897575621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0.9677095588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0.1290781806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0.8766862116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24.01742303</v>
      </c>
      <c r="O19" s="10" t="s">
        <v>147</v>
      </c>
      <c r="P19" s="15">
        <f>IF(J3="Windfury",((60/C43)+(60/C49)+(60/C46))*0.2*(1-SUM($P$3,$P$2)),0)</f>
        <v>6.967722279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1011.532626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0.3564538625</v>
      </c>
      <c r="V22" s="42"/>
      <c r="W22" s="42"/>
    </row>
    <row r="23">
      <c r="A23" s="40" t="s">
        <v>163</v>
      </c>
      <c r="B23" s="43">
        <f>$G$61</f>
        <v>1568.39564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0.6527907783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0.6173786985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0.721190298</v>
      </c>
      <c r="C26" s="18">
        <f>1-B26</f>
        <v>0.278809702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2.652317073</v>
      </c>
      <c r="D43" s="7"/>
      <c r="E43" s="73">
        <f>14/F4</f>
        <v>3.888888889</v>
      </c>
      <c r="F43" s="74">
        <f>($F$2+($N$3/E43))*(1+U8)*IF($H$13,1.04,1)*(1-$P$12)+IF($H14,8,0)</f>
        <v>836.0609992</v>
      </c>
      <c r="G43" s="74">
        <f>($F$3+($N$3/E43))*(1+U8)*IF($H$13,1.04,1)*(1-$P$12)+IF($H14,8,0)</f>
        <v>969.6436203</v>
      </c>
      <c r="H43" s="74">
        <f>((AVERAGE(F43,G43)*$P$5*$P$7)+(AVERAGE(F43,G43)*$P$10*2)+(AVERAGE(F43,G43)*$P$8)+((AVERAGE(F43,G43)-$P$6)*$P$4))</f>
        <v>1306.698148</v>
      </c>
      <c r="I43" s="75">
        <f>H43/C43</f>
        <v>492.6628725</v>
      </c>
      <c r="J43" s="76">
        <f>I43*(IF($J$3="Rockbiter",1+U3,1)+IF(AND($J$3="Rockbiter",$F$11),U3*U4,0))*IF($J$6,0.75,1)*IF($J$7,0.8,1)*IF($F$17,1.02,1)*IF($F$18,0.98,1)*(1-U7)*(1+U5)</f>
        <v>277.1598155</v>
      </c>
      <c r="K43" s="18">
        <f t="shared" ref="K43:K52" si="4">I43/$B$23</f>
        <v>0.3141190016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4.305567702</v>
      </c>
      <c r="D44" s="7"/>
      <c r="E44" s="73"/>
      <c r="F44" s="74">
        <f>($F$2+(($N$3+323)/$E$43))*(1+U8)*IF($H$13,1.04,1)*(1-$P$12)+IF($H14,8,0)</f>
        <v>925.5367318</v>
      </c>
      <c r="G44" s="74">
        <f>($F$3+(($N$3+323)/$E$43))*(1+U8)*IF($H$13,1.04,1)*(1-$P$12)+IF($H14,8,0)</f>
        <v>1059.119353</v>
      </c>
      <c r="H44" s="74">
        <f>((AVERAGE(F44,G44)*$P$5*$P$7)+(AVERAGE(F44,G44)*$P$10*2)+(AVERAGE(F44,G44)*$P$8)+((AVERAGE(F44,G44)-$P$6)*$P$4))*IF(J3="Windfury",1,0)</f>
        <v>1436.196376</v>
      </c>
      <c r="I44" s="75">
        <f>IF($J$3="Windfury",(H44/C44),0)</f>
        <v>333.5672494</v>
      </c>
      <c r="J44" s="76">
        <f>I44*(IF($J$3="Rockbiter",1+U3,1)+IF(AND($J$3="Rockbiter",$F$11),U3*U4,0))*IF($J$6,0.7,1)*IF($J$7,0.8,1)*IF($F$17,1.02,1)*IF($F$18,0.98,1)*(1-U7)*(1+U5)</f>
        <v>175.1461557</v>
      </c>
      <c r="K44" s="18">
        <f t="shared" si="4"/>
        <v>0.2126805514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2.652317073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115.4798318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551.8002595</v>
      </c>
      <c r="G46" s="74">
        <f>G43*0.6*(1+U8)</f>
        <v>639.9647894</v>
      </c>
      <c r="H46" s="79">
        <f>(AVERAGE(F46,G46)*($P$10+$U$8)*(2*(1+$D$17*0.25))+(AVERAGE(F46,G46)*(1-$P$2-$P$3-$P$4-($P$10+U8)))+((AVERAGE(F46,G46)-$P$6)*$P$4))</f>
        <v>948.2278611</v>
      </c>
      <c r="I46" s="75">
        <f t="shared" ref="I46:I47" si="6">H46/C46</f>
        <v>105.3586512</v>
      </c>
      <c r="J46" s="76">
        <f>I46*(IF($J$3="Rockbiter",1+U3,1)+IF(AND($J$3="Rockbiter",$F$11),U3*U4,0))*IF($J$6,0.75,1)*IF($J$7,0.8,1)*IF($F$17,1.02,1)*IF($F$18,0.98,1)*(1-U7)*(1+U5)</f>
        <v>59.27214322</v>
      </c>
      <c r="K46" s="18">
        <f t="shared" si="4"/>
        <v>0.06717606741</v>
      </c>
      <c r="L46" s="80">
        <f>IF($J$2="Lightning",(182*(1-J26*0.2)),(182*(1-J26*0.2))-(150+($N$3/10)))-($P$17*0.6*182)</f>
        <v>76.32611618</v>
      </c>
      <c r="M46" s="74">
        <f>L46/C46</f>
        <v>8.480679575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217.8923214</v>
      </c>
      <c r="G47" s="74">
        <f>(($F$3+($N$3/E43))*(0.2)+($D$47*$N$15))*(1+U8)*IF($H$20,1+(0.1*H67),1)*(1+(D17*0.05))*IF(J23,1+U9,1)</f>
        <v>251.9923214</v>
      </c>
      <c r="H47" s="79">
        <f>(AVERAGE(F47,G47)*($P$10+$U$8)*(1.5+($D$17*0.25))+(AVERAGE(F47,G47)*(1-$P$2-$P$3-$P$4-($P$10+U8)))+((AVERAGE(F47,G47)-$P$6)*$P$4))*IF(J23,1+U9,1)</f>
        <v>372.7213091</v>
      </c>
      <c r="I47" s="75">
        <f t="shared" si="6"/>
        <v>41.41347878</v>
      </c>
      <c r="J47" s="76">
        <f>I47*(IF($J$3="Rockbiter",1+U3,1)+IF(AND($J$3="Rockbiter",$F$11),U3*U4,0))*IF($J$6,0.75,1)*IF($J$7,0.8,1)*IF($F$17,1.02,1)*IF($F$18,0.98,1)*(1-U7)*(1+U5)</f>
        <v>23.29818783</v>
      </c>
      <c r="K47" s="18">
        <f t="shared" si="4"/>
        <v>0.02640499484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1108.598203</v>
      </c>
      <c r="G48" s="74">
        <f>IF($J$2="Lightning",(198+(D48*N15)+(E48*$N$3))*IF($J$23,1+U9,1)*IF($F$12,1.15,1)*(1+(D17*0.05))*(1+(D9*0.01))*IF($H$20,1+(0.1*H67),1)*IF(J26,1.15,1),0)</f>
        <v>1108.598203</v>
      </c>
      <c r="H48" s="79">
        <f>G48*((1-$P$14*0.0025)*$P$13)*(1-P2-P3)</f>
        <v>986.8519485</v>
      </c>
      <c r="I48" s="75">
        <f>IF(F15,((H48/C48)+(H48/C43)*0.15+(H48/C46)*0.15+(H48/C49)*0.15+IF(J3="Windfury",H48/C44,0)*0.15)*(1-P2),(H48/C48)*(1-P2))</f>
        <v>103.838755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77.87906627</v>
      </c>
      <c r="K48" s="18">
        <f t="shared" si="4"/>
        <v>0.06620699037</v>
      </c>
      <c r="L48" s="80">
        <f>IF($J$2="Lightning",(182*(1-J26*0.2)),(182*(1-J26*0.2))-(150+($N$3/10)))-($P$17*0.6*182)</f>
        <v>76.32611618</v>
      </c>
      <c r="M48" s="74">
        <f t="shared" ref="M48:M51" si="7">L48/C48</f>
        <v>8.480679575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928.8637701</v>
      </c>
      <c r="G49" s="74">
        <f>$G$43*1.01*(1+U8)</f>
        <v>1077.274062</v>
      </c>
      <c r="H49" s="79">
        <f>(AVERAGE(F49,G49)*($P$10+$U$8)*2)+(AVERAGE(F49,G49)*(1-$P$2-$P$3-$P$4-($P$10+U8)))+((AVERAGE(F49,G49)-$P$6)*$P$4)</f>
        <v>1596.183566</v>
      </c>
      <c r="I49" s="75">
        <f>H49/C49</f>
        <v>199.5229458</v>
      </c>
      <c r="J49" s="76">
        <f>I49*(IF($J$3="Rockbiter",1+U3,1)+IF(AND($J$3="Rockbiter",$F$11),U3*U4,0))*IF($J$6,0.75,1)*IF($J$7,0.8,1)*IF($F$17,1.02,1)*IF($F$18,0.98,1)*(1-U7)*(1+U5)</f>
        <v>112.2466212</v>
      </c>
      <c r="K49" s="18">
        <f t="shared" si="4"/>
        <v>0.1272146777</v>
      </c>
      <c r="L49" s="80">
        <f>(152*(1-J26*0.2))-($P$17*0.6*152)</f>
        <v>63.74488824</v>
      </c>
      <c r="M49" s="74">
        <f t="shared" si="7"/>
        <v>7.96811103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1046.415563</v>
      </c>
      <c r="G50" s="80">
        <f>(520+(E50*$N$3)+(D50*$N$15)+IF(F7,30,0))*(1+(D17*0.05))*(1+(D9*0.01))*IF($J$23,1+U9,1)*IF(F14,1.1,1)*IF(J26,1.15,1)*IF($H$20,1+(0.1*H67),1)</f>
        <v>1086.840563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1099.928627</v>
      </c>
      <c r="I50" s="75">
        <f>H50*2/15</f>
        <v>146.6571502</v>
      </c>
      <c r="J50" s="76">
        <f>I50*(IF($J$3="Rockbiter",1+U3,1)+IF(AND($J$3="Rockbiter",$F$11),U3*U4,0))*IF($J$6,0.75,1)*IF($J$7,0.8,1)*IF($F$17,1.02,1)*IF($F$18,0.98,1)*1.5*(1+U5)</f>
        <v>164.989294</v>
      </c>
      <c r="K50" s="18">
        <f t="shared" si="4"/>
        <v>0.09350775179</v>
      </c>
      <c r="L50" s="80">
        <f>(450*(1-($D$10*0.02))*(1-J26*0.2))-($P$17*0.6*450)</f>
        <v>188.7184191</v>
      </c>
      <c r="M50" s="74">
        <f t="shared" si="7"/>
        <v>37.74368382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H51" s="80">
        <f>(AVERAGE(F51,G51))*(($N$17+$U$8+IF($F$14,0.05,0))*(1.5+($D$17*0.25)))+(AVERAGE(F51,G51))*((MIN(IF($H$3=63,0.83+$N$18,0.96+$N$18-(($H$3-60)*0.01)),0.99))-($N$17+$U$8+IF($F$14,0.05,0)))*((1-$P$15*0.0025)*$P$13)</f>
        <v>639.1883576</v>
      </c>
      <c r="I51" s="75">
        <f t="shared" ref="I51:I52" si="9">H51/15</f>
        <v>42.61255717</v>
      </c>
      <c r="J51" s="76">
        <f>I51*(IF($J$3="Rockbiter",1+U3,1)+IF(AND($J$3="Rockbiter",$F$11),U3*U4,0))*IF($J$6,0.75,1)*IF($J$7,0.8,1)*IF($F$17,1.02,1)*IF($F$18,0.98,1)*(1+U5)</f>
        <v>31.95941788</v>
      </c>
      <c r="K51" s="18">
        <f t="shared" si="4"/>
        <v>0.0271695203</v>
      </c>
      <c r="L51" s="80">
        <f>(410*(1-($D$10*0.02))*(1-J26*0.2)-($P$17*0.6*450))</f>
        <v>148.7184191</v>
      </c>
      <c r="M51" s="74">
        <f t="shared" si="7"/>
        <v>29.74368382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166.7890166</v>
      </c>
      <c r="G52" s="79">
        <f>(82+(E52*$N$3)+(D52*$N$16)+IF($F$7,30,0))*(1+D9*0.01)*IF(J3="Flametongue",1+(D12*0.1),1)*(1+($D$14*0.05))*(1+($D$17*0.05))*IF($H$18,1.1,1)*IF($H$19,1.15,1)*IF($H$20,1+(0.1*H67),1)*IF(J26,1.15,1)</f>
        <v>166.7890166</v>
      </c>
      <c r="H52" s="80">
        <f>(AVERAGE(F52,G52))*MIN(IF($H$3=63,0.83+$N$18,0.96+$N$18-(($H$3-60)*0.01)),0.99)*((1-$P$15*0.0025)*$P$13)*5</f>
        <v>545.0763303</v>
      </c>
      <c r="I52" s="75">
        <f t="shared" si="9"/>
        <v>36.33842202</v>
      </c>
      <c r="J52" s="76">
        <f>I52*(IF($J$3="Rockbiter",1+U3,1)+IF(AND($J$3="Rockbiter",$F$11),U3*U4,0))*IF($J$6,0.75,1)*IF($J$7,0.8,1)*IF($F$17,1.02,1)*IF($F$18,0.98,1)*(1+U5)</f>
        <v>27.25381651</v>
      </c>
      <c r="K52" s="18">
        <f t="shared" si="4"/>
        <v>0.02316916797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0.04235127676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57.04756916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88.30007248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512.7248444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1172.525198</v>
      </c>
      <c r="D61" s="103">
        <f>$H$50*2/15</f>
        <v>146.6571502</v>
      </c>
      <c r="E61" s="103">
        <f>IF($H$6,IF($J$2="Lightning",$H$53/$H$7,0),0)+IF(J2="Lightning",I48,0)+(($H$51+$H$52)/15)+IF(F21,C66,0)+IF(F22,C67,0)+IF(F9,IF(H6,C69,0),0)+IF(F23,C68,0)+IF(F24,C70,0)</f>
        <v>249.213292</v>
      </c>
      <c r="F61" s="103">
        <f>IF(J4="Magma",I56,0)+IF($J$4="Searing",I55,0)+IF($J$4="Nova",I57,0)+B76+B77</f>
        <v>0</v>
      </c>
      <c r="G61" s="103">
        <f>SUM(C61,D61,E61,F61)</f>
        <v>1568.39564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1574.207101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1011.532626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1172.525198</v>
      </c>
      <c r="D62" s="103">
        <f>$H$50/5</f>
        <v>219.9857253</v>
      </c>
      <c r="E62" s="103">
        <f>IF($H$6,IF($J$2="Lightning",$H$53/$H$7,0),0)+IF(J2="Lightning",I48,0)+IF(F21,C66,0)+IF(F22,C67,0)+IF(F9,IF(H6,C69,0),0)+IF(F24,C70,0)</f>
        <v>170.2623128</v>
      </c>
      <c r="F62" s="103">
        <f>IF(J4="Magma",I56,0)+IF($J$4="Searing",I55,0)+IF($J$4="Nova",I57,0)+B76+B77</f>
        <v>0</v>
      </c>
      <c r="G62" s="103">
        <f>C62+D62+E62+F62</f>
        <v>1562.773236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1568.584697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1034.814039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443.992944</v>
      </c>
      <c r="C66" s="112">
        <f>(B66*((((60/C43)+(60/C46)+(60/C49)+IF(J3="Windfury",60/C44,0))*1-$P$2)*0.185))/60</f>
        <v>69.36727887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166.0950141</v>
      </c>
      <c r="C67" s="103">
        <f>(B67*((((60/C43)+(60/C46)+(60/C49)+IF(J3="Windfury",60/C44,0))*(1-P2))*0.08633)/60)</f>
        <v>11.47966455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0.4779960517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378.1005164</v>
      </c>
      <c r="C68" s="103">
        <f>((B68/C43)*K67+(B68/C46)*K67+(B68/C49)*K67+IF(J3="Windfury",(B68/C44)*K67,0))*(1-SUM(P2:P3))</f>
        <v>20.58387065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31.42865146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191.0443523</v>
      </c>
      <c r="C70" s="103">
        <f>((B70/C43)*K66+(B70/C46)*K66+(B70/C49)*K66+IF(J3="Windfury",(B70/C44)*K66,0))*(1-SUM(P2:P3))</f>
        <v>11.012288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36.48148276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52.89138681</v>
      </c>
      <c r="H72" s="88">
        <f>SUM(A72:F72)*(0.83+$N$18)</f>
        <v>52.89138681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103.838755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0.3163065384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0.4233705625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'Main(manual)'!B5+0.01</f>
        <v>0.05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0.3177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0.2084076823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0.2563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0.2877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14164.41584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739.8324432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771.8324432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0.8229284361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0.8545427156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0.1440635592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0.7128426314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47.27484475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1176.746945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0.4911548729</v>
      </c>
      <c r="V22" s="42"/>
      <c r="W22" s="42"/>
    </row>
    <row r="23">
      <c r="A23" s="40" t="s">
        <v>163</v>
      </c>
      <c r="B23" s="43">
        <f>$G$61</f>
        <v>1774.143349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0.8023915609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0.4767585636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0.3097887564</v>
      </c>
      <c r="C26" s="18">
        <f>1-B26</f>
        <v>0.6902112436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2.979127039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937.3037228</v>
      </c>
      <c r="I43" s="75">
        <f>H43/C43</f>
        <v>314.6236165</v>
      </c>
      <c r="J43" s="76">
        <f>I43*(IF($J$3="Rockbiter",1+U3,1)+IF(AND($J$3="Rockbiter",$F$11),U3*U4,0))*IF($J$6,0.75,1)*IF($J$7,0.8,1)*IF($F$17,1.02,1)*IF($F$18,0.98,1)*(1-U7)*(1+U5)</f>
        <v>231.2483581</v>
      </c>
      <c r="K43" s="18">
        <f t="shared" ref="K43:K52" si="4">I43/$B$23</f>
        <v>0.1773383288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2.979127039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395.0283054</v>
      </c>
      <c r="G45" s="74">
        <f>(29.5*$F$4+(D45*$N$16))*(1+IF(J3="Flametongue",0.1*$D$12,0))*(1+($D$14*0.05))*(1+($D$17*0.05))*IF($H$18,1.1,1)*IF($H$19,1.15,1)*IF($H$20,1+(0.1*H67),1)*IF(F27,1.45,1)</f>
        <v>395.0283054</v>
      </c>
      <c r="H45" s="74">
        <f>(AVERAGE(F45,G45))*(($N$17+$U$8)*(1.5+($D$17*0.25)))+(AVERAGE(F45,G45))*((MIN(IF($H$3=63,0.83+$N$18,0.96+$N$18-(($H$3-60)*0.01)),0.99))-($N$17+$U$8))*((1-$P$15*0.0025)*$P$13)*(1-P2-P3)</f>
        <v>456.6210674</v>
      </c>
      <c r="I45" s="75">
        <f>IF($J$3="Flametongue",(H45/C45)+(H45/C46)+(H45/C49)+IF(F23,((H45/C45)+(H45/C46)+(H45/C49))*K67,0))</f>
        <v>261.0867536</v>
      </c>
      <c r="J45" s="76">
        <f>I45*(IF($J$3="Rockbiter",1+U3,1)+IF(AND($J$3="Rockbiter",$F$11),U3*U4,0))*IF($J$6,0.7,1)*IF($J$7,0.8,1)*IF($F$17,1.02,1)*IF($F$18,0.98,1)*(1-U7)*(1+U5)</f>
        <v>179.105513</v>
      </c>
      <c r="K45" s="18">
        <f t="shared" si="4"/>
        <v>0.1471621523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853.0751034</v>
      </c>
      <c r="I46" s="75">
        <f t="shared" ref="I46:I47" si="6">H46/C46</f>
        <v>94.7861226</v>
      </c>
      <c r="J46" s="76">
        <f>I46*(IF($J$3="Rockbiter",1+U3,1)+IF(AND($J$3="Rockbiter",$F$11),U3*U4,0))*IF($J$6,0.75,1)*IF($J$7,0.8,1)*IF($F$17,1.02,1)*IF($F$18,0.98,1)*(1-U7)*(1+U5)</f>
        <v>69.66780011</v>
      </c>
      <c r="K46" s="18">
        <f t="shared" si="4"/>
        <v>0.05342641714</v>
      </c>
      <c r="L46" s="80">
        <f>IF($J$2="Lightning",(182*(1-J26*0.2)),(182*(1-J26*0.2))-(150+($N$3/10)))-($P$17*0.6*182)</f>
        <v>88.68393545</v>
      </c>
      <c r="M46" s="74">
        <f>L46/C46</f>
        <v>9.853770606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252.151763</v>
      </c>
      <c r="G47" s="79">
        <f>(($F$3+($N$3/E43))*(0.2)+($D$47*$N$15))*(1+U8)*IF($H$20,1+(0.1*H67),1)*(1+(D17*0.05))*IF(J23,1+U9,1)</f>
        <v>292.131871</v>
      </c>
      <c r="H47" s="79">
        <f>(AVERAGE(F47,G47)*($P$10+$U$8)*(1.5+($D$17*0.25))+(AVERAGE(F47,G47)*(1-$P$2-$P$3-$P$4-($P$10+U8)))+((AVERAGE(F47,G47)-$P$6)*$P$4))*IF(J23,1+U9,1)</f>
        <v>446.2105267</v>
      </c>
      <c r="I47" s="75">
        <f t="shared" si="6"/>
        <v>49.57894741</v>
      </c>
      <c r="J47" s="76">
        <f>I47*(IF($J$3="Rockbiter",1+U3,1)+IF(AND($J$3="Rockbiter",$F$11),U3*U4,0))*IF($J$6,0.75,1)*IF($J$7,0.8,1)*IF($F$17,1.02,1)*IF($F$18,0.98,1)*(1-U7)*(1+U5)</f>
        <v>36.44052635</v>
      </c>
      <c r="K47" s="18">
        <f t="shared" si="4"/>
        <v>0.02794528833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1305.850822</v>
      </c>
      <c r="G48" s="74">
        <f>IF($J$2="Lightning",(198+(D48*N15)+(E48*$N$3))*IF($J$23,1+U9,1)*IF($F$12,1.15,1)*(1+(D17*0.05))*(1+(D9*0.01))*IF($H$20,1+(0.1*H67),1)*IF(J26,1.15,1),0)</f>
        <v>1305.850822</v>
      </c>
      <c r="H48" s="79">
        <f>G48*((1-$P$14*0.0025)*$P$13)*(1-P2-P3)</f>
        <v>1158.759785</v>
      </c>
      <c r="I48" s="75">
        <f>IF(F15,((H48/C48)+(H48/C43)*0.15+(H48/C46)*0.15+(H48/C49)*0.15+IF(J3="Windfury",H48/C44,0)*0.15)*(1-P2),(H48/C48)*(1-P2))</f>
        <v>121.5410264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89.3326544</v>
      </c>
      <c r="K48" s="18">
        <f t="shared" si="4"/>
        <v>0.06850688051</v>
      </c>
      <c r="L48" s="80">
        <f>IF($J$2="Lightning",(182*(1-J26*0.2)),(182*(1-J26*0.2))-(150+($N$3/10)))-($P$17*0.6*182)</f>
        <v>88.68393545</v>
      </c>
      <c r="M48" s="74">
        <f t="shared" ref="M48:M51" si="7">L48/C48</f>
        <v>9.853770606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1121.59938</v>
      </c>
      <c r="I49" s="75">
        <f>H49/C49</f>
        <v>140.1999225</v>
      </c>
      <c r="J49" s="76">
        <f>I49*(IF($J$3="Rockbiter",1+U3,1)+IF(AND($J$3="Rockbiter",$F$11),U3*U4,0))*IF($J$6,0.75,1)*IF($J$7,0.8,1)*IF($F$17,1.02,1)*IF($F$18,0.98,1)*(1-U7)*(1+U5)</f>
        <v>103.046943</v>
      </c>
      <c r="K49" s="18">
        <f t="shared" si="4"/>
        <v>0.07902401044</v>
      </c>
      <c r="L49" s="80">
        <f>(152*(1-J26*0.2))-($P$17*0.6*152)</f>
        <v>74.06570433</v>
      </c>
      <c r="M49" s="74">
        <f t="shared" si="7"/>
        <v>9.258213042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1425.877578</v>
      </c>
      <c r="G50" s="80">
        <f>(520+(E50*$N$3)+(D50*$N$15)+IF(F7,30,0))*(1+(D17*0.05))*(1+(D9*0.01))*IF($J$23,1+U9,1)*IF(F14,1.1,1)*IF(J26,1.15,1)*IF($H$20,1+(0.1*H67),1)</f>
        <v>1467.737092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1726.61974</v>
      </c>
      <c r="I50" s="75">
        <f>H50*2/15</f>
        <v>230.2159654</v>
      </c>
      <c r="J50" s="76">
        <f>I50*(IF($J$3="Rockbiter",1+U3,1)+IF(AND($J$3="Rockbiter",$F$11),U3*U4,0))*IF($J$6,0.75,1)*IF($J$7,0.8,1)*IF($F$17,1.02,1)*IF($F$18,0.98,1)*1.5*(1+U5)</f>
        <v>253.8131018</v>
      </c>
      <c r="K50" s="18">
        <f t="shared" si="4"/>
        <v>0.1297617611</v>
      </c>
      <c r="L50" s="80">
        <f>(450*(1-($D$10*0.02))*(1-J26*0.2))-($P$17*0.6*450)</f>
        <v>201.2734668</v>
      </c>
      <c r="M50" s="74">
        <f t="shared" si="7"/>
        <v>40.25469336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1385.233323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1385.233323</v>
      </c>
      <c r="H51" s="80">
        <f>(AVERAGE(F51,G51))*(($N$17+$U$8+IF($F$14,0.05,0))*(1.5+($D$17*0.25)))+(AVERAGE(F51,G51))*((MIN(IF($H$3=63,0.83+$N$18,0.96+$N$18-(($H$3-60)*0.01)),0.99))-($N$17+$U$8+IF($F$14,0.05,0)))*((1-$P$15*0.0025)*$P$13)</f>
        <v>1653.13732</v>
      </c>
      <c r="I51" s="75">
        <f t="shared" ref="I51:I52" si="9">H51/15</f>
        <v>110.2091547</v>
      </c>
      <c r="J51" s="76">
        <f>I51*(IF($J$3="Rockbiter",1+U3,1)+IF(AND($J$3="Rockbiter",$F$11),U3*U4,0))*IF($J$6,0.75,1)*IF($J$7,0.8,1)*IF($F$17,1.02,1)*IF($F$18,0.98,1)*(1+U5)</f>
        <v>81.00372869</v>
      </c>
      <c r="K51" s="18">
        <f t="shared" si="4"/>
        <v>0.06211964483</v>
      </c>
      <c r="L51" s="80">
        <f>(410*(1-($D$10*0.02))*(1-J26*0.2)-($P$17*0.6*450))</f>
        <v>162.8734668</v>
      </c>
      <c r="M51" s="74">
        <f t="shared" si="7"/>
        <v>32.57469336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477.4999637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477.4999637</v>
      </c>
      <c r="H52" s="80">
        <f>(AVERAGE(F52,G52))*MIN(IF($H$3=63,0.83+$N$18,0.96+$N$18-(($H$3-60)*0.01)),0.99)*((1-$P$15*0.0025)*$P$13)*5</f>
        <v>2186.041977</v>
      </c>
      <c r="I52" s="75">
        <f t="shared" si="9"/>
        <v>145.7361318</v>
      </c>
      <c r="J52" s="76">
        <f>I52*(IF($J$3="Rockbiter",1+U3,1)+IF(AND($J$3="Rockbiter",$F$11),U3*U4,0))*IF($J$6,0.75,1)*IF($J$7,0.8,1)*IF($F$17,1.02,1)*IF($F$18,0.98,1)*(1+U5)</f>
        <v>107.1160569</v>
      </c>
      <c r="K52" s="18">
        <f t="shared" si="4"/>
        <v>0.08214450761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591.318362</v>
      </c>
      <c r="G53" s="74">
        <f>(198+($N$15*$D$53))*(1+(D17*0.05))*(1+(D9*0.01))*IF(J26,1.15,1)*IF($H$20,1+(0.1*H67),1)*IF(J23,1+U9,1)</f>
        <v>591.318362</v>
      </c>
      <c r="H53" s="74">
        <f>F53*((1-$P$14*0.0025)*$P$13)</f>
        <v>555.8392603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382.0122358</v>
      </c>
      <c r="G55" s="74">
        <f>(54+(D55*$N$16))*(1+($D$14*0.05))*(1+(IF(J3="Flametongue",($D$12*0.1),0)))*(1+($D$17*0.05))*(1+($D$9*0.01))*IF($H$18,1.1,1)*IF($H$19,1.15,1)*IF($H$20,1+(0.1*H67),1)</f>
        <v>413.6777029</v>
      </c>
      <c r="H55" s="80">
        <f t="shared" ref="H55:H57" si="11">(AVERAGE(F55,G55))*(($N$17+$U$8)*(1.5+($D$17*0.25)))+(AVERAGE(F55,G55))*((MIN(IF($H$3=63,0.83+$N$18,0.96+$N$18-(($H$3-60)*0.01)),0.99))-($N$17+$U$8))*((1-$P$15*0.0025)*$P$13)</f>
        <v>474.7881498</v>
      </c>
      <c r="I55" s="75">
        <f>IF(J4="Searing",H55/C55,0)+IF(J4="Nova+Searing",((H55*(ROUNDDOWN((15-(4-D16))/C55,0)))/15),0)</f>
        <v>189.9152599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0.1070461753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227.7697509</v>
      </c>
      <c r="G56" s="74">
        <f>(75+(D56*$N$16))*(1+($D$14*0.05))*(1+(IF(J3="Flametongue",($D$12*0.1),0)))*(1+($D$17*0.05))*(1+($D$9*0.01))*IF($H$18,1.1,1)*IF($H$19,1.15,1)*IF($H$20,1+(0.1*H67),1)</f>
        <v>227.7697509</v>
      </c>
      <c r="H56" s="80">
        <f t="shared" si="11"/>
        <v>271.8203997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1183.772864</v>
      </c>
      <c r="G57" s="74">
        <f>(459+(D57*$N$16))*(1+($D$14*0.05))*(1+(IF(J3="Flametongue",($D$12*0.1),0)))*(1+($D$17*0.05))*(1+($D$9*0.01))*IF($H$18,1.1,1)*IF($H$19,1.15,1)*IF($H$20,1+(0.1*H67),1)</f>
        <v>1287.816541</v>
      </c>
      <c r="H57" s="80">
        <f t="shared" si="11"/>
        <v>1474.797284</v>
      </c>
      <c r="I57" s="75">
        <f>IF(J4="Nova",(H57/C57)*H4,0)+IF(J4="Nova+Magma",(H57/C57)*H4,0)+IF(J4="Nova+Searing",(H57/C57)*H4,0)</f>
        <v>98.31981895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0.05541819325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17.93062887</v>
      </c>
      <c r="J59" s="75">
        <f>I59*(IF($J$3="Rockbiter",1+U3,1)+IF(AND($J$3="Rockbiter",$F$11),U3*U4,0))*IF($J$6,0.75,1)*IF($J$7,0.8,1)*IF($F$17,1.02,1)*IF($F$18,0.98,1)*(1+U5)</f>
        <v>13.17901222</v>
      </c>
      <c r="K59" s="18">
        <f t="shared" si="12"/>
        <v>0.01010664041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860.2753626</v>
      </c>
      <c r="D61" s="103">
        <f>$H$50*2/15</f>
        <v>230.2159654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395.4169417</v>
      </c>
      <c r="F61" s="103">
        <f>IF(J4="Magma",I56,0)+IF($J$4="Searing",I55,0)+IF($J$4="Nova",I57,0)+B76+B77</f>
        <v>288.2350789</v>
      </c>
      <c r="G61" s="103">
        <f>SUM(C61,D61,E61,F61)</f>
        <v>1774.143349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1767.227956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1176.746945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860.2753626</v>
      </c>
      <c r="D62" s="103">
        <f>$H$50/5</f>
        <v>345.3239481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139.4716553</v>
      </c>
      <c r="F62" s="103">
        <f>IF(J4="Magma",I56,0)+IF($J$4="Searing",I55,0)+IF($J$4="Nova",I57,0)+B76+B77</f>
        <v>288.2350789</v>
      </c>
      <c r="G62" s="103">
        <f>C62+D62+E62+F62</f>
        <v>1633.306045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1626.390652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1115.533711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743.6706055</v>
      </c>
      <c r="C66" s="112">
        <f>(B66*((((60/C43)+(60/C46)+(60/C49)+IF(J3="Windfury",60/C44,0))*1-$P$2)*0.185))/60</f>
        <v>78.53653682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1282.624393</v>
      </c>
      <c r="C67" s="103">
        <f>(B67*((((60/C43)+(60/C46)+(60/C49)+IF(J3="Windfury",60/C44,0))*(1-P2))*0.08633)/60)</f>
        <v>59.76709173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0.3548583102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333.8308557</v>
      </c>
      <c r="C68" s="103">
        <f>((B68/C43)*K67+(B68/C46)*K67+(B68/C49)*K67+IF(J3="Windfury",(B68/C44)*K67,0))*(1-SUM(P2:P3))</f>
        <v>12.25282627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36.80644429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361.8463286</v>
      </c>
      <c r="C70" s="103">
        <f>((B70/C43)*K66+(B70/C46)*K66+(B70/C49)*K66+IF(J3="Windfury",(B70/C44)*K66,0))*(1-SUM(P2:P3))</f>
        <v>14.06233872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31.54564664</v>
      </c>
      <c r="B72" s="8">
        <v>0.0</v>
      </c>
      <c r="C72" s="88">
        <f>(60/C46)*(1-P2)</f>
        <v>6.293333333</v>
      </c>
      <c r="D72" s="88">
        <f>(60/5)*(0.83+$N$18)</f>
        <v>11.68876271</v>
      </c>
      <c r="E72" s="88">
        <f>IF($F$23,$A$72*0.08,0)</f>
        <v>0</v>
      </c>
      <c r="F72" s="88">
        <f>$A$72*($F$26*1)</f>
        <v>31.54564664</v>
      </c>
      <c r="G72" s="88">
        <f>SUM(A72:E72)</f>
        <v>49.52774268</v>
      </c>
      <c r="H72" s="88">
        <f>SUM(A72:F72)</f>
        <v>81.07338932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288.2350789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1103.184095</v>
      </c>
      <c r="C86" s="130">
        <f>IF(AND(J3="Flametongue",F26=0),A72*0.2,0)+IF(AND(J3="Flametongue",F26=1),A72*0.36,0)+IF(AND(J3="Flametongue",F26=2),A72*0.488,0)+IF(AND(J3="Flametongue",F26=3),A72*0.5904,0)+D72*0.2</f>
        <v>13.69418533</v>
      </c>
      <c r="D86" s="132">
        <f>(B86*C86/60)*(0.83+N18)*P13*((1-$P$15*0.0025))</f>
        <v>230.5409575</v>
      </c>
      <c r="E86" s="132">
        <f>(B86*C86/60)*(1-(F86*0.0025))*(0.88)</f>
        <v>119.0951521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121.5410264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627.1863876</v>
      </c>
      <c r="C112" s="88">
        <f>(60/C43)*0.05+(60/C46)*0.05+(60/C49)*0.05+IF(J3="Windfury",(60/C44)*0.05,0)</f>
        <v>1.715339735</v>
      </c>
      <c r="D112" s="88">
        <f>(B112*C112)/60</f>
        <v>17.93062887</v>
      </c>
      <c r="E112" s="88">
        <f>0.33*IF(J3="Flametongue",1.3,1)*(1+(0.05*D12))*(1+(N17/2))*(0.83+N18)*P13*(1-SUM(P2:P3))*IF(H18,1.1,1)*IF(H19,1.15,1)*IF(H20,1.1,1)</f>
        <v>0.647383363</v>
      </c>
      <c r="F112" s="88">
        <f>(E112*C112)/60</f>
        <v>0.01850804011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1699.141935</v>
      </c>
      <c r="C116" s="88">
        <f t="shared" ref="C116:C118" si="13">2.4/(60/1.6)</f>
        <v>0.064</v>
      </c>
      <c r="D116" s="75">
        <f>C116*(60/C43+IF(J3="Windfury",60/C44,0)+60/C46+60/C49)*(1-P2)</f>
        <v>2.072679309</v>
      </c>
      <c r="E116" s="75">
        <f t="shared" ref="E116:E118" si="14">B116*D116/60</f>
        <v>58.69627218</v>
      </c>
    </row>
    <row r="117">
      <c r="A117" s="8" t="s">
        <v>282</v>
      </c>
      <c r="B117" s="75">
        <f>(AVERAGE(493,552)+N15*(2.5/3.5))*1.05*1.1*1.1666*1.05*(1+(N17))*(0.83+N18)*P13</f>
        <v>1609.272207</v>
      </c>
      <c r="C117" s="88">
        <f t="shared" si="13"/>
        <v>0.064</v>
      </c>
      <c r="D117" s="75">
        <f>C116*(60/C43+IF(J3="Windfury",60/C44,0)+60/C46+60/C49)*(1-P2)</f>
        <v>2.072679309</v>
      </c>
      <c r="E117" s="75">
        <f t="shared" si="14"/>
        <v>55.59175341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1700.994502</v>
      </c>
      <c r="C118" s="139">
        <f t="shared" si="13"/>
        <v>0.064</v>
      </c>
      <c r="D118" s="138">
        <f>C116*(60/C43+IF(J3="Windfury",60/C44,0)+60/C46+60/C49)*(1-P2)</f>
        <v>2.072679309</v>
      </c>
      <c r="E118" s="138">
        <f t="shared" si="14"/>
        <v>58.76026849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1731.842445</v>
      </c>
      <c r="C119" s="4"/>
      <c r="D119" s="4"/>
      <c r="E119" s="138">
        <f>E118+(B119*D118/60)</f>
        <v>118.5861685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0.052</v>
      </c>
      <c r="Q2" s="8" t="s">
        <v>17</v>
      </c>
      <c r="R2" s="17">
        <f>1 - EXP(
  -(
     (0.1 * (1 - SUM(P2:P3)) / C43) + IF(AND(J3="Windfury",C44&gt;0),(0.1 * (1 - SUM(P2:P3)) / C44),0)
   ) * 12
)</f>
        <v>0.3170471518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0.4244562538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'Main(manual)'!B6+0.01</f>
        <v>0.03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0.086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0.2067387916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0.2703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0.548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14176.98518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739.9343408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771.9343408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0.8142050726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0.8474521137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0.1432784565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0.7049528191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47.48788436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1174.744829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0.4919268245</v>
      </c>
      <c r="V22" s="42"/>
      <c r="W22" s="42"/>
    </row>
    <row r="23">
      <c r="A23" s="40" t="s">
        <v>163</v>
      </c>
      <c r="B23" s="43">
        <f>$G$61</f>
        <v>1771.344789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0.8031102811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0.4779173959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0.3082709825</v>
      </c>
      <c r="C26" s="18">
        <f>1-B26</f>
        <v>0.6917290175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2.983247099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932.6003505</v>
      </c>
      <c r="I43" s="75">
        <f>H43/C43</f>
        <v>312.6125056</v>
      </c>
      <c r="J43" s="76">
        <f>I43*(IF($J$3="Rockbiter",1+U3,1)+IF(AND($J$3="Rockbiter",$F$11),U3*U4,0))*IF($J$6,0.75,1)*IF($J$7,0.8,1)*IF($F$17,1.02,1)*IF($F$18,0.98,1)*(1-U7)*(1+U5)</f>
        <v>229.7701916</v>
      </c>
      <c r="K43" s="18">
        <f t="shared" ref="K43:K52" si="4">I43/$B$23</f>
        <v>0.1764831486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2.983247099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395.0871541</v>
      </c>
      <c r="G45" s="74">
        <f>(29.5*$F$4+(D45*$N$16))*(1+IF(J3="Flametongue",0.1*$D$12,0))*(1+($D$14*0.05))*(1+($D$17*0.05))*IF($H$18,1.1,1)*IF($H$19,1.15,1)*IF($H$20,1+(0.1*H67),1)*IF(F27,1.45,1)</f>
        <v>395.0871541</v>
      </c>
      <c r="H45" s="74">
        <f>(AVERAGE(F45,G45))*(($N$17+$U$8)*(1.5+($D$17*0.25)))+(AVERAGE(F45,G45))*((MIN(IF($H$3=63,0.83+$N$18,0.96+$N$18-(($H$3-60)*0.01)),0.99))-($N$17+$U$8))*((1-$P$15*0.0025)*$P$13)*(1-P2-P3)</f>
        <v>457.4703864</v>
      </c>
      <c r="I45" s="75">
        <f>IF($J$3="Flametongue",(H45/C45)+(H45/C46)+(H45/C49)+IF(F23,((H45/C45)+(H45/C46)+(H45/C49))*K67,0))</f>
        <v>261.3603027</v>
      </c>
      <c r="J45" s="76">
        <f>I45*(IF($J$3="Rockbiter",1+U3,1)+IF(AND($J$3="Rockbiter",$F$11),U3*U4,0))*IF($J$6,0.7,1)*IF($J$7,0.8,1)*IF($F$17,1.02,1)*IF($F$18,0.98,1)*(1-U7)*(1+U5)</f>
        <v>179.2931677</v>
      </c>
      <c r="K45" s="18">
        <f t="shared" si="4"/>
        <v>0.147549085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844.9476759</v>
      </c>
      <c r="I46" s="75">
        <f t="shared" ref="I46:I47" si="6">H46/C46</f>
        <v>93.8830751</v>
      </c>
      <c r="J46" s="76">
        <f>I46*(IF($J$3="Rockbiter",1+U3,1)+IF(AND($J$3="Rockbiter",$F$11),U3*U4,0))*IF($J$6,0.75,1)*IF($J$7,0.8,1)*IF($F$17,1.02,1)*IF($F$18,0.98,1)*(1-U7)*(1+U5)</f>
        <v>69.0040602</v>
      </c>
      <c r="K46" s="18">
        <f t="shared" si="4"/>
        <v>0.05300101692</v>
      </c>
      <c r="L46" s="80">
        <f>IF($J$2="Lightning",(182*(1-J26*0.2)),(182*(1-J26*0.2))-(150+($N$3/10)))-($P$17*0.6*182)</f>
        <v>89.45822919</v>
      </c>
      <c r="M46" s="74">
        <f>L46/C46</f>
        <v>9.939803243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252.1831498</v>
      </c>
      <c r="G47" s="79">
        <f>(($F$3+($N$3/E43))*(0.2)+($D$47*$N$15))*(1+U8)*IF($H$20,1+(0.1*H67),1)*(1+(D17*0.05))*IF(J23,1+U9,1)</f>
        <v>292.166992</v>
      </c>
      <c r="H47" s="79">
        <f>(AVERAGE(F47,G47)*($P$10+$U$8)*(1.5+($D$17*0.25))+(AVERAGE(F47,G47)*(1-$P$2-$P$3-$P$4-($P$10+U8)))+((AVERAGE(F47,G47)-$P$6)*$P$4))*IF(J23,1+U9,1)</f>
        <v>444.2237376</v>
      </c>
      <c r="I47" s="75">
        <f t="shared" si="6"/>
        <v>49.35819307</v>
      </c>
      <c r="J47" s="76">
        <f>I47*(IF($J$3="Rockbiter",1+U3,1)+IF(AND($J$3="Rockbiter",$F$11),U3*U4,0))*IF($J$6,0.75,1)*IF($J$7,0.8,1)*IF($F$17,1.02,1)*IF($F$18,0.98,1)*(1-U7)*(1+U5)</f>
        <v>36.27827191</v>
      </c>
      <c r="K47" s="18">
        <f t="shared" si="4"/>
        <v>0.027864814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1306.019221</v>
      </c>
      <c r="G48" s="74">
        <f>IF($J$2="Lightning",(198+(D48*N15)+(E48*$N$3))*IF($J$23,1+U9,1)*IF($F$12,1.15,1)*(1+(D17*0.05))*(1+(D9*0.01))*IF($H$20,1+(0.1*H67),1)*IF(J26,1.15,1),0)</f>
        <v>1306.019221</v>
      </c>
      <c r="H48" s="79">
        <f>G48*((1-$P$14*0.0025)*$P$13)*(1-P2-P3)</f>
        <v>1163.819848</v>
      </c>
      <c r="I48" s="75">
        <f>IF(F15,((H48/C48)+(H48/C43)*0.15+(H48/C46)*0.15+(H48/C49)*0.15+IF(J3="Windfury",H48/C44,0)*0.15)*(1-P2),(H48/C48)*(1-P2))</f>
        <v>122.589024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90.10293262</v>
      </c>
      <c r="K48" s="18">
        <f t="shared" si="4"/>
        <v>0.06920675454</v>
      </c>
      <c r="L48" s="80">
        <f>IF($J$2="Lightning",(182*(1-J26*0.2)),(182*(1-J26*0.2))-(150+($N$3/10)))-($P$17*0.6*182)</f>
        <v>89.45822919</v>
      </c>
      <c r="M48" s="74">
        <f t="shared" ref="M48:M51" si="7">L48/C48</f>
        <v>9.939803243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1116.468941</v>
      </c>
      <c r="I49" s="75">
        <f>H49/C49</f>
        <v>139.5586177</v>
      </c>
      <c r="J49" s="76">
        <f>I49*(IF($J$3="Rockbiter",1+U3,1)+IF(AND($J$3="Rockbiter",$F$11),U3*U4,0))*IF($J$6,0.75,1)*IF($J$7,0.8,1)*IF($F$17,1.02,1)*IF($F$18,0.98,1)*(1-U7)*(1+U5)</f>
        <v>102.575584</v>
      </c>
      <c r="K49" s="18">
        <f t="shared" si="4"/>
        <v>0.07878681699</v>
      </c>
      <c r="L49" s="80">
        <f>(152*(1-J26*0.2))-($P$17*0.6*152)</f>
        <v>74.71236723</v>
      </c>
      <c r="M49" s="74">
        <f t="shared" si="7"/>
        <v>9.339045904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1426.069565</v>
      </c>
      <c r="G50" s="80">
        <f>(520+(E50*$N$3)+(D50*$N$15)+IF(F7,30,0))*(1+(D17*0.05))*(1+(D9*0.01))*IF($J$23,1+U9,1)*IF(F14,1.1,1)*IF(J26,1.15,1)*IF($H$20,1+(0.1*H67),1)</f>
        <v>1467.93299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1725.78331</v>
      </c>
      <c r="I50" s="75">
        <f>H50*2/15</f>
        <v>230.1044413</v>
      </c>
      <c r="J50" s="76">
        <f>I50*(IF($J$3="Rockbiter",1+U3,1)+IF(AND($J$3="Rockbiter",$F$11),U3*U4,0))*IF($J$6,0.75,1)*IF($J$7,0.8,1)*IF($F$17,1.02,1)*IF($F$18,0.98,1)*1.5*(1+U5)</f>
        <v>253.6901465</v>
      </c>
      <c r="K50" s="18">
        <f t="shared" si="4"/>
        <v>0.1299038125</v>
      </c>
      <c r="L50" s="80">
        <f>(450*(1-($D$10*0.02))*(1-J26*0.2))-($P$17*0.6*450)</f>
        <v>203.1879293</v>
      </c>
      <c r="M50" s="74">
        <f t="shared" si="7"/>
        <v>40.63758586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1385.412034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1385.412034</v>
      </c>
      <c r="H51" s="80">
        <f>(AVERAGE(F51,G51))*(($N$17+$U$8+IF($F$14,0.05,0))*(1.5+($D$17*0.25)))+(AVERAGE(F51,G51))*((MIN(IF($H$3=63,0.83+$N$18,0.96+$N$18-(($H$3-60)*0.01)),0.99))-($N$17+$U$8+IF($F$14,0.05,0)))*((1-$P$15*0.0025)*$P$13)</f>
        <v>1652.328164</v>
      </c>
      <c r="I51" s="75">
        <f t="shared" ref="I51:I52" si="9">H51/15</f>
        <v>110.155211</v>
      </c>
      <c r="J51" s="76">
        <f>I51*(IF($J$3="Rockbiter",1+U3,1)+IF(AND($J$3="Rockbiter",$F$11),U3*U4,0))*IF($J$6,0.75,1)*IF($J$7,0.8,1)*IF($F$17,1.02,1)*IF($F$18,0.98,1)*(1+U5)</f>
        <v>80.96408005</v>
      </c>
      <c r="K51" s="18">
        <f t="shared" si="4"/>
        <v>0.06218733454</v>
      </c>
      <c r="L51" s="80">
        <f>(410*(1-($D$10*0.02))*(1-J26*0.2)-($P$17*0.6*450))</f>
        <v>164.7879293</v>
      </c>
      <c r="M51" s="74">
        <f t="shared" si="7"/>
        <v>32.95758586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477.5676131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477.5676131</v>
      </c>
      <c r="H52" s="80">
        <f>(AVERAGE(F52,G52))*MIN(IF($H$3=63,0.83+$N$18,0.96+$N$18-(($H$3-60)*0.01)),0.99)*((1-$P$15*0.0025)*$P$13)*5</f>
        <v>2184.589466</v>
      </c>
      <c r="I52" s="75">
        <f t="shared" si="9"/>
        <v>145.6392977</v>
      </c>
      <c r="J52" s="76">
        <f>I52*(IF($J$3="Rockbiter",1+U3,1)+IF(AND($J$3="Rockbiter",$F$11),U3*U4,0))*IF($J$6,0.75,1)*IF($J$7,0.8,1)*IF($F$17,1.02,1)*IF($F$18,0.98,1)*(1+U5)</f>
        <v>107.0448838</v>
      </c>
      <c r="K52" s="18">
        <f t="shared" si="4"/>
        <v>0.08221962132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591.4142701</v>
      </c>
      <c r="G53" s="74">
        <f>(198+($N$15*$D$53))*(1+(D17*0.05))*(1+(D9*0.01))*IF(J26,1.15,1)*IF($H$20,1+(0.1*H67),1)*IF(J23,1+U9,1)</f>
        <v>591.4142701</v>
      </c>
      <c r="H53" s="74">
        <f>F53*((1-$P$14*0.0025)*$P$13)</f>
        <v>555.9294139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382.0864096</v>
      </c>
      <c r="G55" s="74">
        <f>(54+(D55*$N$16))*(1+($D$14*0.05))*(1+(IF(J3="Flametongue",($D$12*0.1),0)))*(1+($D$17*0.05))*(1+($D$9*0.01))*IF($H$18,1.1,1)*IF($H$19,1.15,1)*IF($H$20,1+(0.1*H67),1)</f>
        <v>413.7548343</v>
      </c>
      <c r="H55" s="80">
        <f t="shared" ref="H55:H57" si="11">(AVERAGE(F55,G55))*(($N$17+$U$8)*(1.5+($D$17*0.25)))+(AVERAGE(F55,G55))*((MIN(IF($H$3=63,0.83+$N$18,0.96+$N$18-(($H$3-60)*0.01)),0.99))-($N$17+$U$8))*((1-$P$15*0.0025)*$P$13)</f>
        <v>474.5847695</v>
      </c>
      <c r="I55" s="75">
        <f>IF(J4="Searing",H55/C55,0)+IF(J4="Nova+Searing",((H55*(ROUNDDOWN((15-(4-D16))/C55,0)))/15),0)</f>
        <v>189.8339078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0.1071693716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227.7987007</v>
      </c>
      <c r="G56" s="74">
        <f>(75+(D56*$N$16))*(1+($D$14*0.05))*(1+(IF(J3="Flametongue",($D$12*0.1),0)))*(1+($D$17*0.05))*(1+($D$9*0.01))*IF($H$18,1.1,1)*IF($H$19,1.15,1)*IF($H$20,1+(0.1*H67),1)</f>
        <v>227.7987007</v>
      </c>
      <c r="H56" s="80">
        <f t="shared" si="11"/>
        <v>271.6868338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1183.916392</v>
      </c>
      <c r="G57" s="74">
        <f>(459+(D57*$N$16))*(1+($D$14*0.05))*(1+(IF(J3="Flametongue",($D$12*0.1),0)))*(1+($D$17*0.05))*(1+($D$9*0.01))*IF($H$18,1.1,1)*IF($H$19,1.15,1)*IF($H$20,1+(0.1*H67),1)</f>
        <v>1287.969788</v>
      </c>
      <c r="H57" s="80">
        <f t="shared" si="11"/>
        <v>1474.062248</v>
      </c>
      <c r="I57" s="75">
        <f>IF(J4="Nova",(H57/C57)*H4,0)+IF(J4="Nova+Magma",(H57/C57)*H4,0)+IF(J4="Nova+Searing",(H57/C57)*H4,0)</f>
        <v>98.27081655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0.05547808489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17.97939609</v>
      </c>
      <c r="J59" s="75">
        <f>I59*(IF($J$3="Rockbiter",1+U3,1)+IF(AND($J$3="Rockbiter",$F$11),U3*U4,0))*IF($J$6,0.75,1)*IF($J$7,0.8,1)*IF($F$17,1.02,1)*IF($F$18,0.98,1)*(1+U5)</f>
        <v>13.21485613</v>
      </c>
      <c r="K59" s="18">
        <f t="shared" si="12"/>
        <v>0.01015013915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856.7726941</v>
      </c>
      <c r="D61" s="103">
        <f>$H$50*2/15</f>
        <v>230.1044413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396.3629288</v>
      </c>
      <c r="F61" s="103">
        <f>IF(J4="Magma",I56,0)+IF($J$4="Searing",I55,0)+IF($J$4="Nova",I57,0)+B76+B77</f>
        <v>288.1047244</v>
      </c>
      <c r="G61" s="103">
        <f>SUM(C61,D61,E61,F61)</f>
        <v>1771.344789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1763.901938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1174.744829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856.7726941</v>
      </c>
      <c r="D62" s="103">
        <f>$H$50/5</f>
        <v>345.1566619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140.5684201</v>
      </c>
      <c r="F62" s="103">
        <f>IF(J4="Magma",I56,0)+IF($J$4="Searing",I55,0)+IF($J$4="Nova",I57,0)+B76+B77</f>
        <v>288.1047244</v>
      </c>
      <c r="G62" s="103">
        <f>C62+D62+E62+F62</f>
        <v>1630.6025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1623.15965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1113.580939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743.0649838</v>
      </c>
      <c r="C66" s="112">
        <f>(B66*((((60/C43)+(60/C46)+(60/C49)+IF(J3="Windfury",60/C44,0))*1-$P$2)*0.185))/60</f>
        <v>78.41801656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1281.871739</v>
      </c>
      <c r="C67" s="103">
        <f>(B67*((((60/C43)+(60/C46)+(60/C49)+IF(J3="Windfury",60/C44,0))*(1-P2))*0.08633)/60)</f>
        <v>59.93648772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0.3558254827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12.19929022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36.77677801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363.1107944</v>
      </c>
      <c r="C70" s="103">
        <f>((B70/C43)*K66+(B70/C46)*K66+(B70/C49)*K66+IF(J3="Windfury",(B70/C44)*K66,0))*(1-SUM(P2:P3))</f>
        <v>14.15978411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31.62811699</v>
      </c>
      <c r="B72" s="8">
        <v>0.0</v>
      </c>
      <c r="C72" s="88">
        <f>(60/C46)*(1-P2)</f>
        <v>6.32</v>
      </c>
      <c r="D72" s="88">
        <f>(60/5)*(0.83+$N$18)</f>
        <v>11.67934148</v>
      </c>
      <c r="E72" s="88">
        <f>IF($F$23,$A$72*0.08,0)</f>
        <v>0</v>
      </c>
      <c r="F72" s="88">
        <f>$A$72*($F$26*1)</f>
        <v>31.62811699</v>
      </c>
      <c r="G72" s="88">
        <f>SUM(A72:E72)</f>
        <v>49.62745847</v>
      </c>
      <c r="H72" s="88">
        <f>SUM(A72:F72)</f>
        <v>81.25557547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288.1047244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1103.267048</v>
      </c>
      <c r="C86" s="130">
        <f>IF(AND(J3="Flametongue",F26=0),A72*0.2,0)+IF(AND(J3="Flametongue",F26=1),A72*0.36,0)+IF(AND(J3="Flametongue",F26=2),A72*0.488,0)+IF(AND(J3="Flametongue",F26=3),A72*0.5904,0)+D72*0.2</f>
        <v>13.72199041</v>
      </c>
      <c r="D86" s="132">
        <f>(B86*C86/60)*(0.83+N18)*P13*((1-$P$15*0.0025))</f>
        <v>230.8402162</v>
      </c>
      <c r="E86" s="132">
        <f>(B86*C86/60)*(1-(F86*0.0025))*(0.88)</f>
        <v>119.3459399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122.589024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629.4024909</v>
      </c>
      <c r="C112" s="88">
        <f>(60/C43)*0.05+(60/C46)*0.05+(60/C49)*0.05+IF(J3="Windfury",(60/C44)*0.05,0)</f>
        <v>1.713948993</v>
      </c>
      <c r="D112" s="88">
        <f>(B112*C112)/60</f>
        <v>17.97939609</v>
      </c>
      <c r="E112" s="88">
        <f>0.33*IF(J3="Flametongue",1.3,1)*(1+(0.05*D12))*(1+(N17/2))*(0.83+N18)*P13*(1-SUM(P2:P3))*IF(H18,1.1,1)*IF(H19,1.15,1)*IF(H20,1.1,1)</f>
        <v>0.6496025059</v>
      </c>
      <c r="F112" s="88">
        <f>(E112*C112)/60</f>
        <v>0.01855642601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1697.906046</v>
      </c>
      <c r="C116" s="88">
        <f t="shared" ref="C116:C118" si="13">2.4/(60/1.6)</f>
        <v>0.064</v>
      </c>
      <c r="D116" s="75">
        <f>C116*(60/C43+IF(J3="Windfury",60/C44,0)+60/C46+60/C49)*(1-P2)</f>
        <v>2.079774266</v>
      </c>
      <c r="E116" s="75">
        <f t="shared" ref="E116:E118" si="14">B116*D116/60</f>
        <v>58.85435502</v>
      </c>
    </row>
    <row r="117">
      <c r="A117" s="8" t="s">
        <v>282</v>
      </c>
      <c r="B117" s="75">
        <f>(AVERAGE(493,552)+N15*(2.5/3.5))*1.05*1.1*1.1666*1.05*(1+(N17))*(0.83+N18)*P13</f>
        <v>1608.086482</v>
      </c>
      <c r="C117" s="88">
        <f t="shared" si="13"/>
        <v>0.064</v>
      </c>
      <c r="D117" s="75">
        <f>C116*(60/C43+IF(J3="Windfury",60/C44,0)+60/C46+60/C49)*(1-P2)</f>
        <v>2.079774266</v>
      </c>
      <c r="E117" s="75">
        <f t="shared" si="14"/>
        <v>55.74094804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1701.285092</v>
      </c>
      <c r="C118" s="139">
        <f t="shared" si="13"/>
        <v>0.064</v>
      </c>
      <c r="D118" s="138">
        <f>C116*(60/C43+IF(J3="Windfury",60/C44,0)+60/C46+60/C49)*(1-P2)</f>
        <v>2.079774266</v>
      </c>
      <c r="E118" s="138">
        <f t="shared" si="14"/>
        <v>58.97148255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1729.296775</v>
      </c>
      <c r="C119" s="4"/>
      <c r="D119" s="4"/>
      <c r="E119" s="138">
        <f>E118+(B119*D118/60)</f>
        <v>118.9139314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'Main(automatic)'!B6+0.01</f>
        <v>0.05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0.104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984.6659233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1520.797076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0.7132601803</v>
      </c>
      <c r="C26" s="18">
        <f>1-B26</f>
        <v>0.2867398197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0.3100089305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0.2101389087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115.4269933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0.06673428634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0.02659853618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0.06823268375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0.1263780548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1099.080713</v>
      </c>
      <c r="I50" s="75">
        <f>H50*2/15</f>
        <v>146.5440951</v>
      </c>
      <c r="J50" s="76">
        <f>I50*(IF($J$3="Rockbiter",1+U3,1)+IF(AND($J$3="Rockbiter",$F$11),U3*U4,0))*IF($J$6,0.75,1)*IF($J$7,0.8,1)*IF($F$17,1.02,1)*IF($F$18,0.98,1)*1.5*(1+U5)</f>
        <v>164.862107</v>
      </c>
      <c r="K50" s="18">
        <f t="shared" si="4"/>
        <v>0.09636005845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638.6745334</v>
      </c>
      <c r="I51" s="75">
        <f t="shared" ref="I51:I52" si="9">H51/15</f>
        <v>42.57830223</v>
      </c>
      <c r="J51" s="76">
        <f>I51*(IF($J$3="Rockbiter",1+U3,1)+IF(AND($J$3="Rockbiter",$F$11),U3*U4,0))*IF($J$6,0.75,1)*IF($J$7,0.8,1)*IF($F$17,1.02,1)*IF($F$18,0.98,1)*(1+U5)</f>
        <v>31.93372667</v>
      </c>
      <c r="K51" s="18">
        <f t="shared" si="4"/>
        <v>0.02799735935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544.6212339</v>
      </c>
      <c r="I52" s="75">
        <f t="shared" si="9"/>
        <v>36.30808226</v>
      </c>
      <c r="J52" s="76">
        <f>I52*(IF($J$3="Rockbiter",1+U3,1)+IF(AND($J$3="Rockbiter",$F$11),U3*U4,0))*IF($J$6,0.75,1)*IF($J$7,0.8,1)*IF($F$17,1.02,1)*IF($F$18,0.98,1)*(1+U5)</f>
        <v>27.2310617</v>
      </c>
      <c r="K52" s="18">
        <f t="shared" si="4"/>
        <v>0.02387437669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0.04367680532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57.02097072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88.25890255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512.4857863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1125.174972</v>
      </c>
      <c r="D61" s="103">
        <f>$H$50*2/15</f>
        <v>146.5440951</v>
      </c>
      <c r="E61" s="103">
        <f>IF($H$6,IF($J$2="Lightning",$H$53/$H$7,0),0)+IF(J2="Lightning",I48,0)+(($H$51+$H$52)/15)+IF(F21,C66,0)+IF(F22,C67,0)+IF(F9,IF(H6,C69,0),0)+IF(F23,C68,0)+IF(F24,C70,0)</f>
        <v>249.0780082</v>
      </c>
      <c r="F61" s="103">
        <f>IF(J4="Magma",I56,0)+IF($J$4="Searing",I55,0)+IF($J$4="Nova",I57,0)+B76+B77</f>
        <v>0</v>
      </c>
      <c r="G61" s="103">
        <f>SUM(C61,D61,E61,F61)</f>
        <v>1520.797076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1526.604581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984.6659233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1125.174972</v>
      </c>
      <c r="D62" s="103">
        <f>$H$50/5</f>
        <v>219.8161427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1515.182739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1520.990244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1007.932188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0.3167754232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0.4241229415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0.3081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0.078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0.2067528955</v>
      </c>
      <c r="O7" s="10" t="s">
        <v>57</v>
      </c>
      <c r="P7" s="26">
        <f>MIN(65%+((B8-300)*2%),95%                                                    )</f>
        <v>0.93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'Main(manual)'!B8+1</f>
        <v>314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0.2689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0.2781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14173.1229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739.8938399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771.8938399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0.8142791955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0.8476373852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0.1432851276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0.7050194964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47.42242202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1175.759178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0.491619999</v>
      </c>
      <c r="V22" s="42"/>
      <c r="W22" s="42"/>
    </row>
    <row r="23">
      <c r="A23" s="40" t="s">
        <v>163</v>
      </c>
      <c r="B23" s="43">
        <f>$G$61</f>
        <v>1772.714321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0.8028247962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0.4775616699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0.3090892407</v>
      </c>
      <c r="C26" s="18">
        <f>1-B26</f>
        <v>0.6909107593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2.983212233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938.4011764</v>
      </c>
      <c r="I43" s="75">
        <f>H43/C43</f>
        <v>314.5606491</v>
      </c>
      <c r="J43" s="76">
        <f>I43*(IF($J$3="Rockbiter",1+U3,1)+IF(AND($J$3="Rockbiter",$F$11),U3*U4,0))*IF($J$6,0.75,1)*IF($J$7,0.8,1)*IF($F$17,1.02,1)*IF($F$18,0.98,1)*(1-U7)*(1+U5)</f>
        <v>231.2020771</v>
      </c>
      <c r="K43" s="18">
        <f t="shared" ref="K43:K52" si="4">I43/$B$23</f>
        <v>0.1774457652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2.983212233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395.0670996</v>
      </c>
      <c r="G45" s="74">
        <f>(29.5*$F$4+(D45*$N$16))*(1+IF(J3="Flametongue",0.1*$D$12,0))*(1+($D$14*0.05))*(1+($D$17*0.05))*IF($H$18,1.1,1)*IF($H$19,1.15,1)*IF($H$20,1+(0.1*H67),1)*IF(F27,1.45,1)</f>
        <v>395.0670996</v>
      </c>
      <c r="H45" s="74">
        <f>(AVERAGE(F45,G45))*(($N$17+$U$8)*(1.5+($D$17*0.25)))+(AVERAGE(F45,G45))*((MIN(IF($H$3=63,0.83+$N$18,0.96+$N$18-(($H$3-60)*0.01)),0.99))-($N$17+$U$8))*((1-$P$15*0.0025)*$P$13)*(1-P2-P3)</f>
        <v>457.1853899</v>
      </c>
      <c r="I45" s="75">
        <f>IF($J$3="Flametongue",(H45/C45)+(H45/C46)+(H45/C49)+IF(F23,((H45/C45)+(H45/C46)+(H45/C49))*K67,0))</f>
        <v>261.1992707</v>
      </c>
      <c r="J45" s="76">
        <f>I45*(IF($J$3="Rockbiter",1+U3,1)+IF(AND($J$3="Rockbiter",$F$11),U3*U4,0))*IF($J$6,0.7,1)*IF($J$7,0.8,1)*IF($F$17,1.02,1)*IF($F$18,0.98,1)*(1-U7)*(1+U5)</f>
        <v>179.1826997</v>
      </c>
      <c r="K45" s="18">
        <f t="shared" si="4"/>
        <v>0.1473442549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844.8460831</v>
      </c>
      <c r="I46" s="75">
        <f t="shared" ref="I46:I47" si="6">H46/C46</f>
        <v>93.87178701</v>
      </c>
      <c r="J46" s="76">
        <f>I46*(IF($J$3="Rockbiter",1+U3,1)+IF(AND($J$3="Rockbiter",$F$11),U3*U4,0))*IF($J$6,0.75,1)*IF($J$7,0.8,1)*IF($F$17,1.02,1)*IF($F$18,0.98,1)*(1-U7)*(1+U5)</f>
        <v>68.99576345</v>
      </c>
      <c r="K46" s="18">
        <f t="shared" si="4"/>
        <v>0.05295370264</v>
      </c>
      <c r="L46" s="80">
        <f>IF($J$2="Lightning",(182*(1-J26*0.2)),(182*(1-J26*0.2))-(150+($N$3/10)))-($P$17*0.6*182)</f>
        <v>89.43799754</v>
      </c>
      <c r="M46" s="74">
        <f>L46/C46</f>
        <v>9.937555282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252.1728041</v>
      </c>
      <c r="G47" s="79">
        <f>(($F$3+($N$3/E43))*(0.2)+($D$47*$N$15))*(1+U8)*IF($H$20,1+(0.1*H67),1)*(1+(D17*0.05))*IF(J23,1+U9,1)</f>
        <v>292.1554997</v>
      </c>
      <c r="H47" s="79">
        <f>(AVERAGE(F47,G47)*($P$10+$U$8)*(1.5+($D$17*0.25))+(AVERAGE(F47,G47)*(1-$P$2-$P$3-$P$4-($P$10+U8)))+((AVERAGE(F47,G47)-$P$6)*$P$4))*IF(J23,1+U9,1)</f>
        <v>444.0017932</v>
      </c>
      <c r="I47" s="75">
        <f t="shared" si="6"/>
        <v>49.33353258</v>
      </c>
      <c r="J47" s="76">
        <f>I47*(IF($J$3="Rockbiter",1+U3,1)+IF(AND($J$3="Rockbiter",$F$11),U3*U4,0))*IF($J$6,0.75,1)*IF($J$7,0.8,1)*IF($F$17,1.02,1)*IF($F$18,0.98,1)*(1-U7)*(1+U5)</f>
        <v>36.26014645</v>
      </c>
      <c r="K47" s="18">
        <f t="shared" si="4"/>
        <v>0.02782937555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1305.963316</v>
      </c>
      <c r="G48" s="74">
        <f>IF($J$2="Lightning",(198+(D48*N15)+(E48*$N$3))*IF($J$23,1+U9,1)*IF($F$12,1.15,1)*(1+(D17*0.05))*(1+(D9*0.01))*IF($H$20,1+(0.1*H67),1)*IF(J26,1.15,1),0)</f>
        <v>1305.963316</v>
      </c>
      <c r="H48" s="79">
        <f>G48*((1-$P$14*0.0025)*$P$13)*(1-P2-P3)</f>
        <v>1162.542424</v>
      </c>
      <c r="I48" s="75">
        <f>IF(F15,((H48/C48)+(H48/C43)*0.15+(H48/C46)*0.15+(H48/C49)*0.15+IF(J3="Windfury",H48/C44,0)*0.15)*(1-P2),(H48/C48)*(1-P2))</f>
        <v>122.3252973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89.90909353</v>
      </c>
      <c r="K48" s="18">
        <f t="shared" si="4"/>
        <v>0.06900451803</v>
      </c>
      <c r="L48" s="80">
        <f>IF($J$2="Lightning",(182*(1-J26*0.2)),(182*(1-J26*0.2))-(150+($N$3/10)))-($P$17*0.6*182)</f>
        <v>89.43799754</v>
      </c>
      <c r="M48" s="74">
        <f t="shared" ref="M48:M51" si="7">L48/C48</f>
        <v>9.937555282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1115.955898</v>
      </c>
      <c r="I49" s="75">
        <f>H49/C49</f>
        <v>139.4944872</v>
      </c>
      <c r="J49" s="76">
        <f>I49*(IF($J$3="Rockbiter",1+U3,1)+IF(AND($J$3="Rockbiter",$F$11),U3*U4,0))*IF($J$6,0.75,1)*IF($J$7,0.8,1)*IF($F$17,1.02,1)*IF($F$18,0.98,1)*(1-U7)*(1+U5)</f>
        <v>102.5284481</v>
      </c>
      <c r="K49" s="18">
        <f t="shared" si="4"/>
        <v>0.07868977283</v>
      </c>
      <c r="L49" s="80">
        <f>(152*(1-J26*0.2))-($P$17*0.6*152)</f>
        <v>74.69547047</v>
      </c>
      <c r="M49" s="74">
        <f t="shared" si="7"/>
        <v>9.336933809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1426.005298</v>
      </c>
      <c r="G50" s="80">
        <f>(520+(E50*$N$3)+(D50*$N$15)+IF(F7,30,0))*(1+(D17*0.05))*(1+(D9*0.01))*IF($J$23,1+U9,1)*IF(F14,1.1,1)*IF(J26,1.15,1)*IF($H$20,1+(0.1*H67),1)</f>
        <v>1467.867522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1725.715018</v>
      </c>
      <c r="I50" s="75">
        <f>H50*2/15</f>
        <v>230.0953357</v>
      </c>
      <c r="J50" s="76">
        <f>I50*(IF($J$3="Rockbiter",1+U3,1)+IF(AND($J$3="Rockbiter",$F$11),U3*U4,0))*IF($J$6,0.75,1)*IF($J$7,0.8,1)*IF($F$17,1.02,1)*IF($F$18,0.98,1)*1.5*(1+U5)</f>
        <v>253.6801076</v>
      </c>
      <c r="K50" s="18">
        <f t="shared" si="4"/>
        <v>0.1297983172</v>
      </c>
      <c r="L50" s="80">
        <f>(450*(1-($D$10*0.02))*(1-J26*0.2))-($P$17*0.6*450)</f>
        <v>203.137906</v>
      </c>
      <c r="M50" s="74">
        <f t="shared" si="7"/>
        <v>40.6275812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1385.352701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1385.352701</v>
      </c>
      <c r="H51" s="80">
        <f>(AVERAGE(F51,G51))*(($N$17+$U$8+IF($F$14,0.05,0))*(1.5+($D$17*0.25)))+(AVERAGE(F51,G51))*((MIN(IF($H$3=63,0.83+$N$18,0.96+$N$18-(($H$3-60)*0.01)),0.99))-($N$17+$U$8+IF($F$14,0.05,0)))*((1-$P$15*0.0025)*$P$13)</f>
        <v>1652.266087</v>
      </c>
      <c r="I51" s="75">
        <f t="shared" ref="I51:I52" si="9">H51/15</f>
        <v>110.1510725</v>
      </c>
      <c r="J51" s="76">
        <f>I51*(IF($J$3="Rockbiter",1+U3,1)+IF(AND($J$3="Rockbiter",$F$11),U3*U4,0))*IF($J$6,0.75,1)*IF($J$7,0.8,1)*IF($F$17,1.02,1)*IF($F$18,0.98,1)*(1+U5)</f>
        <v>80.96103826</v>
      </c>
      <c r="K51" s="18">
        <f t="shared" si="4"/>
        <v>0.0621369564</v>
      </c>
      <c r="L51" s="80">
        <f>(410*(1-($D$10*0.02))*(1-J26*0.2)-($P$17*0.6*450))</f>
        <v>164.737906</v>
      </c>
      <c r="M51" s="74">
        <f t="shared" si="7"/>
        <v>32.9475812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477.5447571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477.5447571</v>
      </c>
      <c r="H52" s="80">
        <f>(AVERAGE(F52,G52))*MIN(IF($H$3=63,0.83+$N$18,0.96+$N$18-(($H$3-60)*0.01)),0.99)*((1-$P$15*0.0025)*$P$13)*5</f>
        <v>2184.499886</v>
      </c>
      <c r="I52" s="75">
        <f t="shared" si="9"/>
        <v>145.6333257</v>
      </c>
      <c r="J52" s="76">
        <f>I52*(IF($J$3="Rockbiter",1+U3,1)+IF(AND($J$3="Rockbiter",$F$11),U3*U4,0))*IF($J$6,0.75,1)*IF($J$7,0.8,1)*IF($F$17,1.02,1)*IF($F$18,0.98,1)*(1+U5)</f>
        <v>107.0404944</v>
      </c>
      <c r="K52" s="18">
        <f t="shared" si="4"/>
        <v>0.0821527327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591.3811431</v>
      </c>
      <c r="G53" s="74">
        <f>(198+($N$15*$D$53))*(1+(D17*0.05))*(1+(D9*0.01))*IF(J26,1.15,1)*IF($H$20,1+(0.1*H67),1)*IF(J23,1+U9,1)</f>
        <v>591.3811431</v>
      </c>
      <c r="H53" s="74">
        <f>F53*((1-$P$14*0.0025)*$P$13)</f>
        <v>555.8982745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382.0601536</v>
      </c>
      <c r="G55" s="74">
        <f>(54+(D55*$N$16))*(1+($D$14*0.05))*(1+(IF(J3="Flametongue",($D$12*0.1),0)))*(1+($D$17*0.05))*(1+($D$9*0.01))*IF($H$18,1.1,1)*IF($H$19,1.15,1)*IF($H$20,1+(0.1*H67),1)</f>
        <v>413.7276702</v>
      </c>
      <c r="H55" s="80">
        <f t="shared" ref="H55:H57" si="11">(AVERAGE(F55,G55))*(($N$17+$U$8)*(1.5+($D$17*0.25)))+(AVERAGE(F55,G55))*((MIN(IF($H$3=63,0.83+$N$18,0.96+$N$18-(($H$3-60)*0.01)),0.99))-($N$17+$U$8))*((1-$P$15*0.0025)*$P$13)</f>
        <v>474.5554086</v>
      </c>
      <c r="I55" s="75">
        <f>IF(J4="Searing",H55/C55,0)+IF(J4="Nova+Searing",((H55*(ROUNDDOWN((15-(4-D16))/C55,0)))/15),0)</f>
        <v>189.8221634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0.1070799515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227.7891176</v>
      </c>
      <c r="G56" s="74">
        <f>(75+(D56*$N$16))*(1+($D$14*0.05))*(1+(IF(J3="Flametongue",($D$12*0.1),0)))*(1+($D$17*0.05))*(1+($D$9*0.01))*IF($H$18,1.1,1)*IF($H$19,1.15,1)*IF($H$20,1+(0.1*H67),1)</f>
        <v>227.7891176</v>
      </c>
      <c r="H56" s="80">
        <f t="shared" si="11"/>
        <v>271.6768328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1183.869342</v>
      </c>
      <c r="G57" s="74">
        <f>(459+(D57*$N$16))*(1+($D$14*0.05))*(1+(IF(J3="Flametongue",($D$12*0.1),0)))*(1+($D$17*0.05))*(1+($D$9*0.01))*IF($H$18,1.1,1)*IF($H$19,1.15,1)*IF($H$20,1+(0.1*H67),1)</f>
        <v>1287.919753</v>
      </c>
      <c r="H57" s="80">
        <f t="shared" si="11"/>
        <v>1474.012103</v>
      </c>
      <c r="I57" s="75">
        <f>IF(J4="Nova",(H57/C57)*H4,0)+IF(J4="Nova+Magma",(H57/C57)*H4,0)+IF(J4="Nova+Searing",(H57/C57)*H4,0)</f>
        <v>98.26747355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0.0554333388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17.95992598</v>
      </c>
      <c r="J59" s="75">
        <f>I59*(IF($J$3="Rockbiter",1+U3,1)+IF(AND($J$3="Rockbiter",$F$11),U3*U4,0))*IF($J$6,0.75,1)*IF($J$7,0.8,1)*IF($F$17,1.02,1)*IF($F$18,0.98,1)*(1+U5)</f>
        <v>13.2005456</v>
      </c>
      <c r="K59" s="18">
        <f t="shared" si="12"/>
        <v>0.01013131432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858.4597266</v>
      </c>
      <c r="D61" s="103">
        <f>$H$50*2/15</f>
        <v>230.0953357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396.0696215</v>
      </c>
      <c r="F61" s="103">
        <f>IF(J4="Magma",I56,0)+IF($J$4="Searing",I55,0)+IF($J$4="Nova",I57,0)+B76+B77</f>
        <v>288.089637</v>
      </c>
      <c r="G61" s="103">
        <f>SUM(C61,D61,E61,F61)</f>
        <v>1772.714321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1765.410356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1175.759178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858.4597266</v>
      </c>
      <c r="D62" s="103">
        <f>$H$50/5</f>
        <v>345.1430036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140.2852233</v>
      </c>
      <c r="F62" s="103">
        <f>IF(J4="Magma",I56,0)+IF($J$4="Searing",I55,0)+IF($J$4="Nova",I57,0)+B76+B77</f>
        <v>288.089637</v>
      </c>
      <c r="G62" s="103">
        <f>C62+D62+E62+F62</f>
        <v>1631.97759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1624.673626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1114.5977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743.0701298</v>
      </c>
      <c r="C66" s="112">
        <f>(B66*((((60/C43)+(60/C46)+(60/C49)+IF(J3="Windfury",60/C44,0))*1-$P$2)*0.185))/60</f>
        <v>78.41680707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1281.812753</v>
      </c>
      <c r="C67" s="103">
        <f>(B67*((((60/C43)+(60/C46)+(60/C49)+IF(J3="Windfury",60/C44,0))*(1-P2))*0.08633)/60)</f>
        <v>59.87091902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0.3555285167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331.3420957</v>
      </c>
      <c r="C68" s="103">
        <f>((B68/C43)*K67+(B68/C46)*K67+(B68/C49)*K67+IF(J3="Windfury",(B68/C44)*K67,0))*(1-SUM(P2:P3))</f>
        <v>12.19032048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36.77703009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362.7206813</v>
      </c>
      <c r="C70" s="103">
        <f>((B70/C43)*K66+(B70/C46)*K66+(B70/C49)*K66+IF(J3="Windfury",(B70/C44)*K66,0))*(1-SUM(P2:P3))</f>
        <v>14.12974781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31.59518722</v>
      </c>
      <c r="B72" s="8">
        <v>0.0</v>
      </c>
      <c r="C72" s="88">
        <f>(60/C46)*(1-P2)</f>
        <v>6.313333333</v>
      </c>
      <c r="D72" s="88">
        <f>(60/5)*(0.83+$N$18)</f>
        <v>11.67942153</v>
      </c>
      <c r="E72" s="88">
        <f>IF($F$23,$A$72*0.08,0)</f>
        <v>0</v>
      </c>
      <c r="F72" s="88">
        <f>$A$72*($F$26*1)</f>
        <v>31.59518722</v>
      </c>
      <c r="G72" s="88">
        <f>SUM(A72:E72)</f>
        <v>49.58794208</v>
      </c>
      <c r="H72" s="88">
        <f>SUM(A72:F72)</f>
        <v>81.1831293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288.089637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1103.234077</v>
      </c>
      <c r="C86" s="130">
        <f>IF(AND(J3="Flametongue",F26=0),A72*0.2,0)+IF(AND(J3="Flametongue",F26=1),A72*0.36,0)+IF(AND(J3="Flametongue",F26=2),A72*0.488,0)+IF(AND(J3="Flametongue",F26=3),A72*0.5904,0)+D72*0.2</f>
        <v>13.71015171</v>
      </c>
      <c r="D86" s="132">
        <f>(B86*C86/60)*(0.83+N18)*P13*((1-$P$15*0.0025))</f>
        <v>230.6357459</v>
      </c>
      <c r="E86" s="132">
        <f>(B86*C86/60)*(1-(F86*0.0025))*(0.88)</f>
        <v>119.2394101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122.3252973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628.7165918</v>
      </c>
      <c r="C112" s="88">
        <f>(60/C43)*0.05+(60/C46)*0.05+(60/C49)*0.05+IF(J3="Windfury",(60/C44)*0.05,0)</f>
        <v>1.713960746</v>
      </c>
      <c r="D112" s="88">
        <f>(B112*C112)/60</f>
        <v>17.95992598</v>
      </c>
      <c r="E112" s="88">
        <f>0.33*IF(J3="Flametongue",1.3,1)*(1+(0.05*D12))*(1+(N17/2))*(0.83+N18)*P13*(1-SUM(P2:P3))*IF(H18,1.1,1)*IF(H19,1.15,1)*IF(H20,1.1,1)</f>
        <v>0.648921719</v>
      </c>
      <c r="F112" s="88">
        <f>(E112*C112)/60</f>
        <v>0.0185371059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1697.864569</v>
      </c>
      <c r="C116" s="88">
        <f t="shared" ref="C116:C118" si="13">2.4/(60/1.6)</f>
        <v>0.064</v>
      </c>
      <c r="D116" s="75">
        <f>C116*(60/C43+IF(J3="Windfury",60/C44,0)+60/C46+60/C49)*(1-P2)</f>
        <v>2.077594658</v>
      </c>
      <c r="E116" s="75">
        <f t="shared" ref="E116:E118" si="14">B116*D116/60</f>
        <v>58.79123931</v>
      </c>
    </row>
    <row r="117">
      <c r="A117" s="8" t="s">
        <v>282</v>
      </c>
      <c r="B117" s="75">
        <f>(AVERAGE(493,552)+N15*(2.5/3.5))*1.05*1.1*1.1666*1.05*(1+(N17))*(0.83+N18)*P13</f>
        <v>1608.053241</v>
      </c>
      <c r="C117" s="88">
        <f t="shared" si="13"/>
        <v>0.064</v>
      </c>
      <c r="D117" s="75">
        <f>C116*(60/C43+IF(J3="Windfury",60/C44,0)+60/C46+60/C49)*(1-P2)</f>
        <v>2.077594658</v>
      </c>
      <c r="E117" s="75">
        <f t="shared" si="14"/>
        <v>55.6813804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1701.183956</v>
      </c>
      <c r="C118" s="139">
        <f t="shared" si="13"/>
        <v>0.064</v>
      </c>
      <c r="D118" s="138">
        <f>C116*(60/C43+IF(J3="Windfury",60/C44,0)+60/C46+60/C49)*(1-P2)</f>
        <v>2.077594658</v>
      </c>
      <c r="E118" s="138">
        <f t="shared" si="14"/>
        <v>58.90617831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1729.237717</v>
      </c>
      <c r="C119" s="4"/>
      <c r="D119" s="4"/>
      <c r="E119" s="138">
        <f>E118+(B119*D118/60)</f>
        <v>118.7837624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606</v>
      </c>
      <c r="O2" s="10" t="s">
        <v>16</v>
      </c>
      <c r="P2" s="16">
        <f>10%+((H3-60)*1.5%)-(MIN(B8-300,15)*0.001)-MIN($N$6,((H3-60)*1%)+5%)</f>
        <v>0.052</v>
      </c>
      <c r="Q2" s="8" t="s">
        <v>17</v>
      </c>
      <c r="R2" s="17">
        <f>1 - EXP(
  -(
     (0.1 * (1 - SUM(P2:P3)) / C43) + IF(AND(J3="Windfury",C44&gt;0),(0.1 * (1 - SUM(P2:P3)) / C44),0)
   ) * 12
)</f>
        <v>0.4993051972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2077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0.5579378335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0.5172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0.096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0.3535305265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'Main(automatic)'!B8+1</f>
        <v>313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0.0608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0.548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0.4872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16701.5653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0.9838023483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0.9500552172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0.1285422113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0.8603492269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24.00864749</v>
      </c>
      <c r="O19" s="10" t="s">
        <v>147</v>
      </c>
      <c r="P19" s="15">
        <f>IF(J3="Windfury",((60/C43)+(60/C49)+(60/C46))*0.2*(1-SUM($P$3,$P$2)),0)</f>
        <v>6.963156464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988.7233898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0.3559512108</v>
      </c>
      <c r="V22" s="42"/>
      <c r="W22" s="42"/>
    </row>
    <row r="23">
      <c r="A23" s="40" t="s">
        <v>163</v>
      </c>
      <c r="B23" s="43">
        <f>$G$61</f>
        <v>1527.86274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0.6521395588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0.6172443716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0.7143107641</v>
      </c>
      <c r="C26" s="18">
        <f>1-B26</f>
        <v>0.2856892359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2.659710978</v>
      </c>
      <c r="D43" s="7"/>
      <c r="E43" s="73">
        <f>14/F4</f>
        <v>3.888888889</v>
      </c>
      <c r="F43" s="74">
        <f>($F$2+($N$3/E43))*(1+U8)*IF($H$13,1.04,1)*(1-$P$12)+IF($H14,8,0)</f>
        <v>836.0609992</v>
      </c>
      <c r="G43" s="74">
        <f>($F$3+($N$3/E43))*(1+U8)*IF($H$13,1.04,1)*(1-$P$12)+IF($H14,8,0)</f>
        <v>969.6436203</v>
      </c>
      <c r="H43" s="74">
        <f>((AVERAGE(F43,G43)*$P$5*$P$7)+(AVERAGE(F43,G43)*$P$10*2)+(AVERAGE(F43,G43)*$P$8)+((AVERAGE(F43,G43)-$P$6)*$P$4))</f>
        <v>1263.270952</v>
      </c>
      <c r="I43" s="75">
        <f>H43/C43</f>
        <v>474.965499</v>
      </c>
      <c r="J43" s="76">
        <f>I43*(IF($J$3="Rockbiter",1+U3,1)+IF(AND($J$3="Rockbiter",$F$11),U3*U4,0))*IF($J$6,0.75,1)*IF($J$7,0.8,1)*IF($F$17,1.02,1)*IF($F$18,0.98,1)*(1-U7)*(1+U5)</f>
        <v>267.2037156</v>
      </c>
      <c r="K43" s="18">
        <f t="shared" ref="K43:K52" si="4">I43/$B$23</f>
        <v>0.3108692206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4.308390908</v>
      </c>
      <c r="D44" s="7"/>
      <c r="E44" s="73"/>
      <c r="F44" s="74">
        <f>($F$2+(($N$3+323)/$E$43))*(1+U8)*IF($H$13,1.04,1)*(1-$P$12)+IF($H14,8,0)</f>
        <v>925.5367318</v>
      </c>
      <c r="G44" s="74">
        <f>($F$3+(($N$3+323)/$E$43))*(1+U8)*IF($H$13,1.04,1)*(1-$P$12)+IF($H14,8,0)</f>
        <v>1059.119353</v>
      </c>
      <c r="H44" s="74">
        <f>((AVERAGE(F44,G44)*$P$5*$P$7)+(AVERAGE(F44,G44)*$P$10*2)+(AVERAGE(F44,G44)*$P$8)+((AVERAGE(F44,G44)-$P$6)*$P$4))*IF(J3="Windfury",1,0)</f>
        <v>1388.465397</v>
      </c>
      <c r="I44" s="75">
        <f>IF($J$3="Windfury",(H44/C44),0)</f>
        <v>322.2700601</v>
      </c>
      <c r="J44" s="76">
        <f>I44*(IF($J$3="Rockbiter",1+U3,1)+IF(AND($J$3="Rockbiter",$F$11),U3*U4,0))*IF($J$6,0.7,1)*IF($J$7,0.8,1)*IF($F$17,1.02,1)*IF($F$18,0.98,1)*(1-U7)*(1+U5)</f>
        <v>169.2143404</v>
      </c>
      <c r="K44" s="18">
        <f t="shared" si="4"/>
        <v>0.2109286729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2.659710978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115.5072181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551.8002595</v>
      </c>
      <c r="G46" s="74">
        <f>G43*0.6*(1+U8)</f>
        <v>639.9647894</v>
      </c>
      <c r="H46" s="79">
        <f>(AVERAGE(F46,G46)*($P$10+$U$8)*(2*(1+$D$17*0.25))+(AVERAGE(F46,G46)*(1-$P$2-$P$3-$P$4-($P$10+U8)))+((AVERAGE(F46,G46)-$P$6)*$P$4))</f>
        <v>914.7988515</v>
      </c>
      <c r="I46" s="75">
        <f t="shared" ref="I46:I47" si="6">H46/C46</f>
        <v>101.6443168</v>
      </c>
      <c r="J46" s="76">
        <f>I46*(IF($J$3="Rockbiter",1+U3,1)+IF(AND($J$3="Rockbiter",$F$11),U3*U4,0))*IF($J$6,0.75,1)*IF($J$7,0.8,1)*IF($F$17,1.02,1)*IF($F$18,0.98,1)*(1-U7)*(1+U5)</f>
        <v>57.18255154</v>
      </c>
      <c r="K46" s="18">
        <f t="shared" si="4"/>
        <v>0.0665271259</v>
      </c>
      <c r="L46" s="80">
        <f>IF($J$2="Lightning",(182*(1-J26*0.2)),(182*(1-J26*0.2))-(150+($N$3/10)))-($P$17*0.6*182)</f>
        <v>78.25397028</v>
      </c>
      <c r="M46" s="74">
        <f>L46/C46</f>
        <v>8.694885587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217.8923214</v>
      </c>
      <c r="G47" s="74">
        <f>(($F$3+($N$3/E43))*(0.2)+($D$47*$N$15))*(1+U8)*IF($H$20,1+(0.1*H67),1)*(1+(D17*0.05))*IF(J23,1+U9,1)</f>
        <v>251.9923214</v>
      </c>
      <c r="H47" s="79">
        <f>(AVERAGE(F47,G47)*($P$10+$U$8)*(1.5+($D$17*0.25))+(AVERAGE(F47,G47)*(1-$P$2-$P$3-$P$4-($P$10+U8)))+((AVERAGE(F47,G47)-$P$6)*$P$4))*IF(J23,1+U9,1)</f>
        <v>364.6304829</v>
      </c>
      <c r="I47" s="75">
        <f t="shared" si="6"/>
        <v>40.5144981</v>
      </c>
      <c r="J47" s="76">
        <f>I47*(IF($J$3="Rockbiter",1+U3,1)+IF(AND($J$3="Rockbiter",$F$11),U3*U4,0))*IF($J$6,0.75,1)*IF($J$7,0.8,1)*IF($F$17,1.02,1)*IF($F$18,0.98,1)*(1-U7)*(1+U5)</f>
        <v>22.79244377</v>
      </c>
      <c r="K47" s="18">
        <f t="shared" si="4"/>
        <v>0.02651710592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1108.598203</v>
      </c>
      <c r="G48" s="74">
        <f>IF($J$2="Lightning",(198+(D48*N15)+(E48*$N$3))*IF($J$23,1+U9,1)*IF($F$12,1.15,1)*(1+(D17*0.05))*(1+(D9*0.01))*IF($H$20,1+(0.1*H67),1)*IF(J26,1.15,1),0)</f>
        <v>1108.598203</v>
      </c>
      <c r="H48" s="79">
        <f>G48*((1-$P$14*0.0025)*$P$13)*(1-P2-P3)</f>
        <v>987.8940308</v>
      </c>
      <c r="I48" s="75">
        <f>IF(F15,((H48/C48)+(H48/C43)*0.15+(H48/C46)*0.15+(H48/C49)*0.15+IF(J3="Windfury",H48/C44,0)*0.15)*(1-P2),(H48/C48)*(1-P2))</f>
        <v>104.0581712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78.04362843</v>
      </c>
      <c r="K48" s="18">
        <f t="shared" si="4"/>
        <v>0.06810701547</v>
      </c>
      <c r="L48" s="80">
        <f>IF($J$2="Lightning",(182*(1-J26*0.2)),(182*(1-J26*0.2))-(150+($N$3/10)))-($P$17*0.6*182)</f>
        <v>78.25397028</v>
      </c>
      <c r="M48" s="74">
        <f t="shared" ref="M48:M51" si="7">L48/C48</f>
        <v>8.694885587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928.8637701</v>
      </c>
      <c r="G49" s="74">
        <f>$G$43*1.01*(1+U8)</f>
        <v>1077.274062</v>
      </c>
      <c r="H49" s="79">
        <f>(AVERAGE(F49,G49)*($P$10+$U$8)*2)+(AVERAGE(F49,G49)*(1-$P$2-$P$3-$P$4-($P$10+U8)))+((AVERAGE(F49,G49)-$P$6)*$P$4)</f>
        <v>1539.9114</v>
      </c>
      <c r="I49" s="75">
        <f>H49/C49</f>
        <v>192.488925</v>
      </c>
      <c r="J49" s="76">
        <f>I49*(IF($J$3="Rockbiter",1+U3,1)+IF(AND($J$3="Rockbiter",$F$11),U3*U4,0))*IF($J$6,0.75,1)*IF($J$7,0.8,1)*IF($F$17,1.02,1)*IF($F$18,0.98,1)*(1-U7)*(1+U5)</f>
        <v>108.289457</v>
      </c>
      <c r="K49" s="18">
        <f t="shared" si="4"/>
        <v>0.1259857447</v>
      </c>
      <c r="L49" s="80">
        <f>(152*(1-J26*0.2))-($P$17*0.6*152)</f>
        <v>65.35496419</v>
      </c>
      <c r="M49" s="74">
        <f t="shared" si="7"/>
        <v>8.169370524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1046.415563</v>
      </c>
      <c r="G50" s="80">
        <f>(520+(E50*$N$3)+(D50*$N$15)+IF(F7,30,0))*(1+(D17*0.05))*(1+(D9*0.01))*IF($J$23,1+U9,1)*IF(F14,1.1,1)*IF(J26,1.15,1)*IF($H$20,1+(0.1*H67),1)</f>
        <v>1086.840563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1099.391247</v>
      </c>
      <c r="I50" s="75">
        <f>H50*2/15</f>
        <v>146.5854997</v>
      </c>
      <c r="J50" s="76">
        <f>I50*(IF($J$3="Rockbiter",1+U3,1)+IF(AND($J$3="Rockbiter",$F$11),U3*U4,0))*IF($J$6,0.75,1)*IF($J$7,0.8,1)*IF($F$17,1.02,1)*IF($F$18,0.98,1)*1.5*(1+U5)</f>
        <v>164.9086871</v>
      </c>
      <c r="K50" s="18">
        <f t="shared" si="4"/>
        <v>0.09594153706</v>
      </c>
      <c r="L50" s="80">
        <f>(450*(1-($D$10*0.02))*(1-J26*0.2))-($P$17*0.6*450)</f>
        <v>193.4850914</v>
      </c>
      <c r="M50" s="74">
        <f t="shared" si="7"/>
        <v>38.69701827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638.9114576</v>
      </c>
      <c r="I51" s="75">
        <f t="shared" ref="I51:I52" si="9">H51/15</f>
        <v>42.59409717</v>
      </c>
      <c r="J51" s="76">
        <f>I51*(IF($J$3="Rockbiter",1+U3,1)+IF(AND($J$3="Rockbiter",$F$11),U3*U4,0))*IF($J$6,0.75,1)*IF($J$7,0.8,1)*IF($F$17,1.02,1)*IF($F$18,0.98,1)*(1+U5)</f>
        <v>31.94557288</v>
      </c>
      <c r="K51" s="18">
        <f t="shared" si="4"/>
        <v>0.02787822235</v>
      </c>
      <c r="L51" s="80">
        <f>(410*(1-($D$10*0.02))*(1-J26*0.2)-($P$17*0.6*450))</f>
        <v>153.4850914</v>
      </c>
      <c r="M51" s="74">
        <f t="shared" si="7"/>
        <v>30.69701827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166.7890166</v>
      </c>
      <c r="G52" s="79">
        <f>(82+(E52*$N$3)+(D52*$N$16)+IF($F$7,30,0))*(1+D9*0.01)*IF(J3="Flametongue",1+(D12*0.1),1)*(1+($D$14*0.05))*(1+($D$17*0.05))*IF($H$18,1.1,1)*IF($H$19,1.15,1)*IF($H$20,1+(0.1*H67),1)*IF(J26,1.15,1)</f>
        <v>166.7890166</v>
      </c>
      <c r="H52" s="80">
        <f>(AVERAGE(F52,G52))*MIN(IF($H$3=63,0.83+$N$18,0.96+$N$18-(($H$3-60)*0.01)),0.99)*((1-$P$15*0.0025)*$P$13)*5</f>
        <v>544.7717209</v>
      </c>
      <c r="I52" s="75">
        <f t="shared" si="9"/>
        <v>36.31811473</v>
      </c>
      <c r="J52" s="76">
        <f>I52*(IF($J$3="Rockbiter",1+U3,1)+IF(AND($J$3="Rockbiter",$F$11),U3*U4,0))*IF($J$6,0.75,1)*IF($J$7,0.8,1)*IF($F$17,1.02,1)*IF($F$18,0.98,1)*(1+U5)</f>
        <v>27.23858605</v>
      </c>
      <c r="K52" s="18">
        <f t="shared" si="4"/>
        <v>0.023770535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0.04347482015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57.02159512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88.25986901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512.4913982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1131.883299</v>
      </c>
      <c r="D61" s="103">
        <f>$H$50*2/15</f>
        <v>146.5854997</v>
      </c>
      <c r="E61" s="103">
        <f>IF($H$6,IF($J$2="Lightning",$H$53/$H$7,0),0)+IF(J2="Lightning",I48,0)+(($H$51+$H$52)/15)+IF(F21,C66,0)+IF(F22,C67,0)+IF(F9,IF(H6,C69,0),0)+IF(F23,C68,0)+IF(F24,C70,0)</f>
        <v>249.393941</v>
      </c>
      <c r="F61" s="103">
        <f>IF(J4="Magma",I56,0)+IF($J$4="Searing",I55,0)+IF($J$4="Nova",I57,0)+B76+B77</f>
        <v>0</v>
      </c>
      <c r="G61" s="103">
        <f>SUM(C61,D61,E61,F61)</f>
        <v>1527.86274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1533.570572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988.7233898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1131.883299</v>
      </c>
      <c r="D62" s="103">
        <f>$H$50/5</f>
        <v>219.8782495</v>
      </c>
      <c r="E62" s="103">
        <f>IF($H$6,IF($J$2="Lightning",$H$53/$H$7,0),0)+IF(J2="Lightning",I48,0)+IF(F21,C66,0)+IF(F22,C67,0)+IF(F9,IF(H6,C69,0),0)+IF(F24,C70,0)</f>
        <v>170.4817291</v>
      </c>
      <c r="F62" s="103">
        <f>IF(J4="Magma",I56,0)+IF($J$4="Searing",I55,0)+IF($J$4="Nova",I57,0)+B76+B77</f>
        <v>0</v>
      </c>
      <c r="G62" s="103">
        <f>C62+D62+E62+F62</f>
        <v>1522.243278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1527.95111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1011.993574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443.7422095</v>
      </c>
      <c r="C66" s="112">
        <f>(B66*((((60/C43)+(60/C46)+(60/C49)+IF(J3="Windfury",60/C44,0))*1-$P$2)*0.185))/60</f>
        <v>69.23093644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166.0870543</v>
      </c>
      <c r="C67" s="103">
        <f>(B67*((((60/C43)+(60/C46)+(60/C49)+IF(J3="Windfury",60/C44,0))*(1-P2))*0.08633)/60)</f>
        <v>11.47492035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0.4778720529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364.1203704</v>
      </c>
      <c r="C68" s="103">
        <f>((B68/C43)*K67+(B68/C46)*K67+(B68/C49)*K67+IF(J3="Windfury",(B68/C44)*K67,0))*(1-SUM(P2:P3))</f>
        <v>19.81554607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31.41108794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191.1392131</v>
      </c>
      <c r="C70" s="103">
        <f>((B70/C43)*K66+(B70/C46)*K66+(B70/C49)*K66+IF(J3="Windfury",(B70/C44)*K66,0))*(1-SUM(P2:P3))</f>
        <v>11.01373053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36.41457536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52.79769554</v>
      </c>
      <c r="H72" s="88">
        <f>SUM(A72:F72)*(0.83+$N$18)</f>
        <v>52.79769554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104.0581712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'Main(manual)'!B9+1</f>
        <v>501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15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0.002719854941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0.8469571179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1171.905842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1767.417112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0.3080098074</v>
      </c>
      <c r="C26" s="18">
        <f>1-B26</f>
        <v>0.6919901926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711.2281041</v>
      </c>
      <c r="G43" s="74">
        <f>($F$3+($N$3/E43))*(1+U8)*IF($H$13,1.04,1)*(1-$P$12)+IF($H14,8,0)</f>
        <v>856.8469618</v>
      </c>
      <c r="H43" s="74">
        <f>((AVERAGE(F43,G43)*$P$5*$P$7)+(AVERAGE(F43,G43)*$P$10*2)+(AVERAGE(F43,G43)*$P$8)+((AVERAGE(F43,G43)-$P$6)*$P$4))</f>
        <v>929.6333028</v>
      </c>
      <c r="I43" s="75">
        <f>H43/C43</f>
        <v>311.5511998</v>
      </c>
      <c r="J43" s="76">
        <f>I43*(IF($J$3="Rockbiter",1+U3,1)+IF(AND($J$3="Rockbiter",$F$11),U3*U4,0))*IF($J$6,0.75,1)*IF($J$7,0.8,1)*IF($F$17,1.02,1)*IF($F$18,0.98,1)*(1-U7)*(1+U5)</f>
        <v>228.9901319</v>
      </c>
      <c r="K43" s="18">
        <f t="shared" ref="K43:K52" si="4">I43/$B$23</f>
        <v>0.1762748577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804.2641523</v>
      </c>
      <c r="G44" s="74">
        <f>($F$3+(($N$3+323)/$E$43))*(1+U8)*IF($H$13,1.04,1)*(1-$P$12)+IF($H14,8,0)</f>
        <v>949.88301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456.2733773</v>
      </c>
      <c r="I45" s="75">
        <f>IF($J$3="Flametongue",(H45/C45)+(H45/C46)+(H45/C49)+IF(F23,((H45/C45)+(H45/C46)+(H45/C49))*K67,0))</f>
        <v>260.6436772</v>
      </c>
      <c r="J45" s="76">
        <f>I45*(IF($J$3="Rockbiter",1+U3,1)+IF(AND($J$3="Rockbiter",$F$11),U3*U4,0))*IF($J$6,0.7,1)*IF($J$7,0.8,1)*IF($F$17,1.02,1)*IF($F$18,0.98,1)*(1-U7)*(1+U5)</f>
        <v>178.8015626</v>
      </c>
      <c r="K45" s="18">
        <f t="shared" si="4"/>
        <v>0.1474715139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460.8758115</v>
      </c>
      <c r="G46" s="79">
        <f>G43*0.6*(1+U8)</f>
        <v>555.2368312</v>
      </c>
      <c r="H46" s="79">
        <f>(AVERAGE(F46,G46)*($P$10+$U$8)*(2*(1+$D$17*0.25))+(AVERAGE(F46,G46)*(1-$P$2-$P$3-$P$4-($P$10+U8)))+((AVERAGE(F46,G46)-$P$6)*$P$4))</f>
        <v>843.0686597</v>
      </c>
      <c r="I46" s="75">
        <f t="shared" ref="I46:I47" si="6">H46/C46</f>
        <v>93.67429552</v>
      </c>
      <c r="J46" s="76">
        <f>I46*(IF($J$3="Rockbiter",1+U3,1)+IF(AND($J$3="Rockbiter",$F$11),U3*U4,0))*IF($J$6,0.75,1)*IF($J$7,0.8,1)*IF($F$17,1.02,1)*IF($F$18,0.98,1)*(1-U7)*(1+U5)</f>
        <v>68.85060721</v>
      </c>
      <c r="K46" s="18">
        <f t="shared" si="4"/>
        <v>0.05300067251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252.1397741</v>
      </c>
      <c r="G47" s="79">
        <f>(($F$3+($N$3/E43))*(0.2)+($D$47*$N$15))*(1+U8)*IF($H$20,1+(0.1*H67),1)*(1+(D17*0.05))*IF(J23,1+U9,1)</f>
        <v>292.1188596</v>
      </c>
      <c r="H47" s="79">
        <f>(AVERAGE(F47,G47)*($P$10+$U$8)*(1.5+($D$17*0.25))+(AVERAGE(F47,G47)*(1-$P$2-$P$3-$P$4-($P$10+U8)))+((AVERAGE(F47,G47)-$P$6)*$P$4))*IF(J23,1+U9,1)</f>
        <v>442.7884146</v>
      </c>
      <c r="I47" s="75">
        <f t="shared" si="6"/>
        <v>49.19871274</v>
      </c>
      <c r="J47" s="76">
        <f>I47*(IF($J$3="Rockbiter",1+U3,1)+IF(AND($J$3="Rockbiter",$F$11),U3*U4,0))*IF($J$6,0.75,1)*IF($J$7,0.8,1)*IF($F$17,1.02,1)*IF($F$18,0.98,1)*(1-U7)*(1+U5)</f>
        <v>36.16105386</v>
      </c>
      <c r="K47" s="18">
        <f t="shared" si="4"/>
        <v>0.02783650357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1305.784595</v>
      </c>
      <c r="G48" s="74">
        <f>IF($J$2="Lightning",(198+(D48*N15)+(E48*$N$3))*IF($J$23,1+U9,1)*IF($F$12,1.15,1)*(1+(D17*0.05))*(1+(D9*0.01))*IF($H$20,1+(0.1*H67),1)*IF(J26,1.15,1),0)</f>
        <v>1305.784595</v>
      </c>
      <c r="H48" s="79">
        <f>G48*((1-$P$14*0.0025)*$P$13)*(1-P2-P3)</f>
        <v>1158.701018</v>
      </c>
      <c r="I48" s="75">
        <f>IF(F15,((H48/C48)+(H48/C43)*0.15+(H48/C46)*0.15+(H48/C49)*0.15+IF(J3="Windfury",H48/C44,0)*0.15)*(1-P2),(H48/C48)*(1-P2))</f>
        <v>121.5348624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89.32812383</v>
      </c>
      <c r="K48" s="18">
        <f t="shared" si="4"/>
        <v>0.06876410869</v>
      </c>
      <c r="L48" s="80">
        <f>IF($J$2="Lightning",(182*(1-J26*0.2)),(182*(1-J26*0.2))-(150+($N$3/10)))-($P$17*0.6*182)</f>
        <v>89.51228272</v>
      </c>
      <c r="M48" s="74">
        <f t="shared" ref="M48:M51" si="7">L48/C48</f>
        <v>9.945809191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775.807616</v>
      </c>
      <c r="G49" s="74">
        <f>$G$43*1.01*(1+U8)</f>
        <v>934.6486659</v>
      </c>
      <c r="H49" s="79">
        <f>(AVERAGE(F49,G49)*($P$10+$U$8)*2)+(AVERAGE(F49,G49)*(1-$P$2-$P$3-$P$4-($P$10+U8)))+((AVERAGE(F49,G49)-$P$6)*$P$4)</f>
        <v>1113.250471</v>
      </c>
      <c r="I49" s="75">
        <f>H49/C49</f>
        <v>139.1563089</v>
      </c>
      <c r="J49" s="76">
        <f>I49*(IF($J$3="Rockbiter",1+U3,1)+IF(AND($J$3="Rockbiter",$F$11),U3*U4,0))*IF($J$6,0.75,1)*IF($J$7,0.8,1)*IF($F$17,1.02,1)*IF($F$18,0.98,1)*(1-U7)*(1+U5)</f>
        <v>102.279887</v>
      </c>
      <c r="K49" s="18">
        <f t="shared" si="4"/>
        <v>0.07873427725</v>
      </c>
      <c r="L49" s="80">
        <f>(152*(1-J26*0.2))-($P$17*0.6*152)</f>
        <v>74.75751084</v>
      </c>
      <c r="M49" s="74">
        <f t="shared" si="7"/>
        <v>9.344688856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1425.799528</v>
      </c>
      <c r="G50" s="80">
        <f>(520+(E50*$N$3)+(D50*$N$15)+IF(F7,30,0))*(1+(D17*0.05))*(1+(D9*0.01))*IF($J$23,1+U9,1)*IF(F14,1.1,1)*IF(J26,1.15,1)*IF($H$20,1+(0.1*H67),1)</f>
        <v>1467.657972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1725.291897</v>
      </c>
      <c r="I50" s="75">
        <f>H50*2/15</f>
        <v>230.0389196</v>
      </c>
      <c r="J50" s="76">
        <f>I50*(IF($J$3="Rockbiter",1+U3,1)+IF(AND($J$3="Rockbiter",$F$11),U3*U4,0))*IF($J$6,0.75,1)*IF($J$7,0.8,1)*IF($F$17,1.02,1)*IF($F$18,0.98,1)*1.5*(1+U5)</f>
        <v>253.6179088</v>
      </c>
      <c r="K50" s="18">
        <f t="shared" si="4"/>
        <v>0.1301554218</v>
      </c>
      <c r="L50" s="80">
        <f>(450*(1-($D$10*0.02))*(1-J26*0.2))-($P$17*0.6*450)</f>
        <v>203.3215782</v>
      </c>
      <c r="M50" s="74">
        <f t="shared" si="7"/>
        <v>40.66431563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H51" s="80">
        <f>(AVERAGE(F51,G51))*(($N$17+$U$8+IF($F$14,0.05,0))*(1.5+($D$17*0.25)))+(AVERAGE(F51,G51))*((MIN(IF($H$3=63,0.83+$N$18,0.96+$N$18-(($H$3-60)*0.01)),0.99))-($N$17+$U$8+IF($F$14,0.05,0)))*((1-$P$15*0.0025)*$P$13)</f>
        <v>1651.871873</v>
      </c>
      <c r="I51" s="75">
        <f t="shared" ref="I51:I52" si="9">H51/15</f>
        <v>110.1247915</v>
      </c>
      <c r="J51" s="76">
        <f>I51*(IF($J$3="Rockbiter",1+U3,1)+IF(AND($J$3="Rockbiter",$F$11),U3*U4,0))*IF($J$6,0.75,1)*IF($J$7,0.8,1)*IF($F$17,1.02,1)*IF($F$18,0.98,1)*(1+U5)</f>
        <v>80.94172176</v>
      </c>
      <c r="K51" s="18">
        <f t="shared" si="4"/>
        <v>0.06230832031</v>
      </c>
      <c r="L51" s="80">
        <f>(410*(1-($D$10*0.02))*(1-J26*0.2)-($P$17*0.6*450))</f>
        <v>164.9215782</v>
      </c>
      <c r="M51" s="74">
        <f t="shared" si="7"/>
        <v>32.98431563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H52" s="80">
        <f>(AVERAGE(F52,G52))*MIN(IF($H$3=63,0.83+$N$18,0.96+$N$18-(($H$3-60)*0.01)),0.99)*((1-$P$15*0.0025)*$P$13)*5</f>
        <v>2183.875035</v>
      </c>
      <c r="I52" s="75">
        <f t="shared" si="9"/>
        <v>145.591669</v>
      </c>
      <c r="J52" s="76">
        <f>I52*(IF($J$3="Rockbiter",1+U3,1)+IF(AND($J$3="Rockbiter",$F$11),U3*U4,0))*IF($J$6,0.75,1)*IF($J$7,0.8,1)*IF($F$17,1.02,1)*IF($F$18,0.98,1)*(1+U5)</f>
        <v>107.0098767</v>
      </c>
      <c r="K52" s="18">
        <f t="shared" si="4"/>
        <v>0.08237538725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474.4041929</v>
      </c>
      <c r="I55" s="75">
        <f>IF(J4="Searing",H55/C55,0)+IF(J4="Nova+Searing",((H55*(ROUNDDOWN((15-(4-D16))/C55,0)))/15),0)</f>
        <v>189.7616772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0.1073666629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271.6126929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1473.677666</v>
      </c>
      <c r="I57" s="75">
        <f>IF(J4="Nova",(H57/C57)*H4,0)+IF(J4="Nova+Magma",(H57/C57)*H4,0)+IF(J4="Nova+Searing",(H57/C57)*H4,0)</f>
        <v>98.24517777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0.05558686578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17.89582006</v>
      </c>
      <c r="J59" s="75">
        <f>I59*(IF($J$3="Rockbiter",1+U3,1)+IF(AND($J$3="Rockbiter",$F$11),U3*U4,0))*IF($J$6,0.75,1)*IF($J$7,0.8,1)*IF($F$17,1.02,1)*IF($F$18,0.98,1)*(1+U5)</f>
        <v>13.15342774</v>
      </c>
      <c r="K59" s="18">
        <f t="shared" si="12"/>
        <v>0.01012540839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854.2241941</v>
      </c>
      <c r="D61" s="103">
        <f>$H$50*2/15</f>
        <v>230.0389196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395.1471429</v>
      </c>
      <c r="F61" s="103">
        <f>IF(J4="Magma",I56,0)+IF($J$4="Searing",I55,0)+IF($J$4="Nova",I57,0)+B76+B77</f>
        <v>288.0068549</v>
      </c>
      <c r="G61" s="103">
        <f>SUM(C61,D61,E61,F61)</f>
        <v>1767.417112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1760.533265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1171.905842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854.2241941</v>
      </c>
      <c r="D62" s="103">
        <f>$H$50/5</f>
        <v>345.0583794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139.4306824</v>
      </c>
      <c r="F62" s="103">
        <f>IF(J4="Magma",I56,0)+IF($J$4="Searing",I55,0)+IF($J$4="Nova",I57,0)+B76+B77</f>
        <v>288.0068549</v>
      </c>
      <c r="G62" s="103">
        <f>C62+D62+E62+F62</f>
        <v>1626.720111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1619.836264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1110.763198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1281.4413</v>
      </c>
      <c r="C67" s="103">
        <f>(B67*((((60/C43)+(60/C46)+(60/C49)+IF(J3="Windfury",60/C44,0))*(1-P2))*0.08633)/60)</f>
        <v>59.65605312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331.2984587</v>
      </c>
      <c r="C68" s="103">
        <f>((B68/C43)*K67+(B68/C46)*K67+(B68/C49)*K67+IF(J3="Windfury",(B68/C44)*K67,0))*(1-SUM(P2:P3))</f>
        <v>12.14849243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361.4922547</v>
      </c>
      <c r="C70" s="103">
        <f>((B70/C43)*K66+(B70/C46)*K66+(B70/C49)*K66+IF(J3="Windfury",(B70/C44)*K66,0))*(1-SUM(P2:P3))</f>
        <v>14.03542449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288.0068549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121.5348624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626.5554832</v>
      </c>
      <c r="C112" s="88">
        <f>(60/C43)*0.05+(60/C46)*0.05+(60/C49)*0.05+IF(J3="Windfury",(60/C44)*0.05,0)</f>
        <v>1.713733631</v>
      </c>
      <c r="D112" s="88">
        <f>(B112*C112)/60</f>
        <v>17.89582006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1697.464498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58.58342155</v>
      </c>
    </row>
    <row r="117">
      <c r="A117" s="8" t="s">
        <v>282</v>
      </c>
      <c r="B117" s="75">
        <f>(AVERAGE(493,552)+N15*(2.5/3.5))*1.05*1.1*1.1666*1.05*(1+(N17))*(0.83+N18)*P13</f>
        <v>1607.694243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55.48524267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1728.513932</v>
      </c>
      <c r="C119" s="4"/>
      <c r="D119" s="4"/>
      <c r="E119" s="138">
        <f>E118+(B119*D118/60)</f>
        <v>118.3555436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'Main(automatic)'!B9+1</f>
        <v>401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115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0.02048085485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984.7746034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1520.990259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0.7132965995</v>
      </c>
      <c r="C26" s="18">
        <f>1-B26</f>
        <v>0.2867034005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835.655769</v>
      </c>
      <c r="G43" s="74">
        <f>($F$3+($N$3/E43))*(1+U8)*IF($H$13,1.04,1)*(1-$P$12)+IF($H14,8,0)</f>
        <v>969.2621804</v>
      </c>
      <c r="H43" s="74">
        <f>((AVERAGE(F43,G43)*$P$5*$P$7)+(AVERAGE(F43,G43)*$P$10*2)+(AVERAGE(F43,G43)*$P$8)+((AVERAGE(F43,G43)-$P$6)*$P$4))</f>
        <v>1254.237483</v>
      </c>
      <c r="I43" s="75">
        <f>H43/C43</f>
        <v>471.5446394</v>
      </c>
      <c r="J43" s="76">
        <f>I43*(IF($J$3="Rockbiter",1+U3,1)+IF(AND($J$3="Rockbiter",$F$11),U3*U4,0))*IF($J$6,0.75,1)*IF($J$7,0.8,1)*IF($F$17,1.02,1)*IF($F$18,0.98,1)*(1-U7)*(1+U5)</f>
        <v>265.2792255</v>
      </c>
      <c r="K43" s="18">
        <f t="shared" ref="K43:K52" si="4">I43/$B$23</f>
        <v>0.3100247596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925.1474367</v>
      </c>
      <c r="G44" s="74">
        <f>($F$3+(($N$3+323)/$E$43))*(1+U8)*IF($H$13,1.04,1)*(1-$P$12)+IF($H14,8,0)</f>
        <v>1058.753848</v>
      </c>
      <c r="H44" s="74">
        <f>((AVERAGE(F44,G44)*$P$5*$P$7)+(AVERAGE(F44,G44)*$P$10*2)+(AVERAGE(F44,G44)*$P$8)+((AVERAGE(F44,G44)-$P$6)*$P$4))*IF(J3="Windfury",1,0)</f>
        <v>1378.613003</v>
      </c>
      <c r="I44" s="75">
        <f>IF($J$3="Windfury",(H44/C44),0)</f>
        <v>319.635553</v>
      </c>
      <c r="J44" s="76">
        <f>I44*(IF($J$3="Rockbiter",1+U3,1)+IF(AND($J$3="Rockbiter",$F$11),U3*U4,0))*IF($J$6,0.7,1)*IF($J$7,0.8,1)*IF($F$17,1.02,1)*IF($F$18,0.98,1)*(1-U7)*(1+U5)</f>
        <v>167.8310398</v>
      </c>
      <c r="K44" s="18">
        <f t="shared" si="4"/>
        <v>0.2101496384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115.4269933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551.5328075</v>
      </c>
      <c r="G46" s="74">
        <f>G43*0.6*(1+U8)</f>
        <v>639.7130391</v>
      </c>
      <c r="H46" s="79">
        <f>(AVERAGE(F46,G46)*($P$10+$U$8)*(2*(1+$D$17*0.25))+(AVERAGE(F46,G46)*(1-$P$2-$P$3-$P$4-($P$10+U8)))+((AVERAGE(F46,G46)-$P$6)*$P$4))</f>
        <v>913.5664397</v>
      </c>
      <c r="I46" s="75">
        <f t="shared" ref="I46:I47" si="6">H46/C46</f>
        <v>101.5073822</v>
      </c>
      <c r="J46" s="76">
        <f>I46*(IF($J$3="Rockbiter",1+U3,1)+IF(AND($J$3="Rockbiter",$F$11),U3*U4,0))*IF($J$6,0.75,1)*IF($J$7,0.8,1)*IF($F$17,1.02,1)*IF($F$18,0.98,1)*(1-U7)*(1+U5)</f>
        <v>57.10551554</v>
      </c>
      <c r="K46" s="18">
        <f t="shared" si="4"/>
        <v>0.06673769381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0.02659515786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0.06822401741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928.4135593</v>
      </c>
      <c r="G49" s="74">
        <f>$G$43*1.01*(1+U8)</f>
        <v>1076.850282</v>
      </c>
      <c r="H49" s="79">
        <f>(AVERAGE(F49,G49)*($P$10+$U$8)*2)+(AVERAGE(F49,G49)*(1-$P$2-$P$3-$P$4-($P$10+U8)))+((AVERAGE(F49,G49)-$P$6)*$P$4)</f>
        <v>1537.83684</v>
      </c>
      <c r="I49" s="75">
        <f>H49/C49</f>
        <v>192.229605</v>
      </c>
      <c r="J49" s="76">
        <f>I49*(IF($J$3="Rockbiter",1+U3,1)+IF(AND($J$3="Rockbiter",$F$11),U3*U4,0))*IF($J$6,0.75,1)*IF($J$7,0.8,1)*IF($F$17,1.02,1)*IF($F$18,0.98,1)*(1-U7)*(1+U5)</f>
        <v>108.14357</v>
      </c>
      <c r="K49" s="18">
        <f t="shared" si="4"/>
        <v>0.1263845076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1099.080713</v>
      </c>
      <c r="I50" s="75">
        <f>H50*2/15</f>
        <v>146.5440951</v>
      </c>
      <c r="J50" s="76">
        <f>I50*(IF($J$3="Rockbiter",1+U3,1)+IF(AND($J$3="Rockbiter",$F$11),U3*U4,0))*IF($J$6,0.75,1)*IF($J$7,0.8,1)*IF($F$17,1.02,1)*IF($F$18,0.98,1)*1.5*(1+U5)</f>
        <v>164.862107</v>
      </c>
      <c r="K50" s="18">
        <f t="shared" si="4"/>
        <v>0.09634781961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638.6745334</v>
      </c>
      <c r="I51" s="75">
        <f t="shared" ref="I51:I52" si="9">H51/15</f>
        <v>42.57830223</v>
      </c>
      <c r="J51" s="76">
        <f>I51*(IF($J$3="Rockbiter",1+U3,1)+IF(AND($J$3="Rockbiter",$F$11),U3*U4,0))*IF($J$6,0.75,1)*IF($J$7,0.8,1)*IF($F$17,1.02,1)*IF($F$18,0.98,1)*(1+U5)</f>
        <v>31.93372667</v>
      </c>
      <c r="K51" s="18">
        <f t="shared" si="4"/>
        <v>0.02799380336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544.6212339</v>
      </c>
      <c r="I52" s="75">
        <f t="shared" si="9"/>
        <v>36.30808226</v>
      </c>
      <c r="J52" s="76">
        <f>I52*(IF($J$3="Rockbiter",1+U3,1)+IF(AND($J$3="Rockbiter",$F$11),U3*U4,0))*IF($J$6,0.75,1)*IF($J$7,0.8,1)*IF($F$17,1.02,1)*IF($F$18,0.98,1)*(1+U5)</f>
        <v>27.2310617</v>
      </c>
      <c r="K52" s="18">
        <f t="shared" si="4"/>
        <v>0.02387134437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0.04367125786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57.02097072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88.25890255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512.4857863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1125.368156</v>
      </c>
      <c r="D61" s="103">
        <f>$H$50*2/15</f>
        <v>146.5440951</v>
      </c>
      <c r="E61" s="103">
        <f>IF($H$6,IF($J$2="Lightning",$H$53/$H$7,0),0)+IF(J2="Lightning",I48,0)+(($H$51+$H$52)/15)+IF(F21,C66,0)+IF(F22,C67,0)+IF(F9,IF(H6,C69,0),0)+IF(F23,C68,0)+IF(F24,C70,0)</f>
        <v>249.0780082</v>
      </c>
      <c r="F61" s="103">
        <f>IF(J4="Magma",I56,0)+IF($J$4="Searing",I55,0)+IF($J$4="Nova",I57,0)+B76+B77</f>
        <v>0</v>
      </c>
      <c r="G61" s="103">
        <f>SUM(C61,D61,E61,F61)</f>
        <v>1520.990259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1526.797764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984.7746034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1125.368156</v>
      </c>
      <c r="D62" s="103">
        <f>$H$50/5</f>
        <v>219.8161427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1515.375922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1521.183427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1008.040868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364.0872663</v>
      </c>
      <c r="C68" s="103">
        <f>((B68/C43)*K67+(B68/C46)*K67+(B68/C49)*K67+IF(J3="Windfury",(B68/C44)*K67,0))*(1-SUM(P2:P3))</f>
        <v>19.7864734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451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'Main(manual)'!B10+100</f>
        <v>257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8005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15885.98659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0.2014824324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0.8551541611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1181.311701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1783.201101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0.3052281161</v>
      </c>
      <c r="C26" s="18">
        <f>1-B26</f>
        <v>0.6947718839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I43*(IF($J$3="Rockbiter",1+U3,1)+IF(AND($J$3="Rockbiter",$F$11),U3*U4,0))*IF($J$6,0.75,1)*IF($J$7,0.8,1)*IF($F$17,1.02,1)*IF($F$18,0.98,1)*(1-U7)*(1+U5)</f>
        <v>228.9486181</v>
      </c>
      <c r="K43" s="18">
        <f t="shared" ref="K43:K52" si="4">I43/$B$23</f>
        <v>0.1746828881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464.8108798</v>
      </c>
      <c r="I45" s="75">
        <f>IF($J$3="Flametongue",(H45/C45)+(H45/C46)+(H45/C49)+IF(F23,((H45/C45)+(H45/C46)+(H45/C49))*K67,0))</f>
        <v>265.5206789</v>
      </c>
      <c r="J45" s="76">
        <f>I45*(IF($J$3="Rockbiter",1+U3,1)+IF(AND($J$3="Rockbiter",$F$11),U3*U4,0))*IF($J$6,0.7,1)*IF($J$7,0.8,1)*IF($F$17,1.02,1)*IF($F$18,0.98,1)*(1-U7)*(1+U5)</f>
        <v>182.1471857</v>
      </c>
      <c r="K45" s="18">
        <f t="shared" si="4"/>
        <v>0.1489011412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0.05252201402</v>
      </c>
      <c r="L46" s="80">
        <f>IF($J$2="Lightning",(182*(1-J26*0.2)),(182*(1-J26*0.2))-(150+($N$3/10)))-($P$17*0.6*182)</f>
        <v>88.61716561</v>
      </c>
      <c r="M46" s="74">
        <f>L46/C46</f>
        <v>9.846351735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252.1397741</v>
      </c>
      <c r="G47" s="79">
        <f>(($F$3+($N$3/E43))*(0.2)+($D$47*$N$15))*(1+U8)*IF($H$20,1+(0.1*H67),1)*(1+(D17*0.05))*IF(J23,1+U9,1)</f>
        <v>292.1188596</v>
      </c>
      <c r="H47" s="79">
        <f>(AVERAGE(F47,G47)*($P$10+$U$8)*(1.5+($D$17*0.25))+(AVERAGE(F47,G47)*(1-$P$2-$P$3-$P$4-($P$10+U8)))+((AVERAGE(F47,G47)-$P$6)*$P$4))*IF(J23,1+U9,1)</f>
        <v>442.7884146</v>
      </c>
      <c r="I47" s="75">
        <f t="shared" si="6"/>
        <v>49.19871274</v>
      </c>
      <c r="J47" s="76">
        <f>I47*(IF($J$3="Rockbiter",1+U3,1)+IF(AND($J$3="Rockbiter",$F$11),U3*U4,0))*IF($J$6,0.75,1)*IF($J$7,0.8,1)*IF($F$17,1.02,1)*IF($F$18,0.98,1)*(1-U7)*(1+U5)</f>
        <v>36.16105386</v>
      </c>
      <c r="K47" s="18">
        <f t="shared" si="4"/>
        <v>0.02759010899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1305.784595</v>
      </c>
      <c r="G48" s="74">
        <f>IF($J$2="Lightning",(198+(D48*N15)+(E48*$N$3))*IF($J$23,1+U9,1)*IF($F$12,1.15,1)*(1+(D17*0.05))*(1+(D9*0.01))*IF($H$20,1+(0.1*H67),1)*IF(J26,1.15,1),0)</f>
        <v>1305.784595</v>
      </c>
      <c r="H48" s="79">
        <f>G48*((1-$P$14*0.0025)*$P$13)*(1-P2-P3)</f>
        <v>1158.701018</v>
      </c>
      <c r="I48" s="75">
        <f>IF(F15,((H48/C48)+(H48/C43)*0.15+(H48/C46)*0.15+(H48/C49)*0.15+IF(J3="Windfury",H48/C44,0)*0.15)*(1-P2),(H48/C48)*(1-P2))</f>
        <v>121.5348624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89.32812383</v>
      </c>
      <c r="K48" s="18">
        <f t="shared" si="4"/>
        <v>0.06815544376</v>
      </c>
      <c r="L48" s="80">
        <f>IF($J$2="Lightning",(182*(1-J26*0.2)),(182*(1-J26*0.2))-(150+($N$3/10)))-($P$17*0.6*182)</f>
        <v>88.61716561</v>
      </c>
      <c r="M48" s="74">
        <f t="shared" ref="M48:M51" si="7">L48/C48</f>
        <v>9.846351735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0.078023214</v>
      </c>
      <c r="L49" s="80">
        <f>(152*(1-J26*0.2))-($P$17*0.6*152)</f>
        <v>74.00994051</v>
      </c>
      <c r="M49" s="74">
        <f t="shared" si="7"/>
        <v>9.251242564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1425.799528</v>
      </c>
      <c r="G50" s="80">
        <f>(520+(E50*$N$3)+(D50*$N$15)+IF(F7,30,0))*(1+(D17*0.05))*(1+(D9*0.01))*IF($J$23,1+U9,1)*IF(F14,1.1,1)*IF(J26,1.15,1)*IF($H$20,1+(0.1*H67),1)</f>
        <v>1467.657972</v>
      </c>
      <c r="H50" s="80">
        <f>(AVERAGE(F50,G50))*(($N$17+$U$8+IF($F$14,0.05,0))*(1.5+($D$17*0.25)))+(AVERAGE(F50,G50))*((MIN(IF($H$3=63,0.83+$N$18,0.96+$N$18-(($H$3-60)*0.01)),0.99))-($N$17+$U$8+IF($F$14,0.05,0)))*((1-$P$14*0.0025)*$P$13)</f>
        <v>1755.081801</v>
      </c>
      <c r="I50" s="75">
        <f>H50*2/15</f>
        <v>234.0109068</v>
      </c>
      <c r="J50" s="76">
        <f>I50*(IF($J$3="Rockbiter",1+U3,1)+IF(AND($J$3="Rockbiter",$F$11),U3*U4,0))*IF($J$6,0.75,1)*IF($J$7,0.8,1)*IF($F$17,1.02,1)*IF($F$18,0.98,1)*1.5*(1+U5)</f>
        <v>257.9970248</v>
      </c>
      <c r="K50" s="18">
        <f t="shared" si="4"/>
        <v>0.1312307999</v>
      </c>
      <c r="L50" s="80">
        <f>(450*(1-($D$10*0.02))*(1-J26*0.2))-($P$17*0.6*450)</f>
        <v>201.1083765</v>
      </c>
      <c r="M50" s="74">
        <f t="shared" si="7"/>
        <v>40.2216753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H51" s="80">
        <f>(AVERAGE(F51,G51))*(($N$17+$U$8+IF($F$14,0.05,0))*(1.5+($D$17*0.25)))+(AVERAGE(F51,G51))*((MIN(IF($H$3=63,0.83+$N$18,0.96+$N$18-(($H$3-60)*0.01)),0.99))-($N$17+$U$8+IF($F$14,0.05,0)))*((1-$P$15*0.0025)*$P$13)</f>
        <v>1680.394064</v>
      </c>
      <c r="I51" s="75">
        <f t="shared" ref="I51:I52" si="9">H51/15</f>
        <v>112.0262709</v>
      </c>
      <c r="J51" s="76">
        <f>I51*(IF($J$3="Rockbiter",1+U3,1)+IF(AND($J$3="Rockbiter",$F$11),U3*U4,0))*IF($J$6,0.75,1)*IF($J$7,0.8,1)*IF($F$17,1.02,1)*IF($F$18,0.98,1)*(1+U5)</f>
        <v>82.33930913</v>
      </c>
      <c r="K51" s="18">
        <f t="shared" si="4"/>
        <v>0.06282312794</v>
      </c>
      <c r="L51" s="80">
        <f>(410*(1-($D$10*0.02))*(1-J26*0.2)-($P$17*0.6*450))</f>
        <v>162.7083765</v>
      </c>
      <c r="M51" s="74">
        <f t="shared" si="7"/>
        <v>32.5416753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H52" s="80">
        <f>(AVERAGE(F52,G52))*MIN(IF($H$3=63,0.83+$N$18,0.96+$N$18-(($H$3-60)*0.01)),0.99)*((1-$P$15*0.0025)*$P$13)*5</f>
        <v>2183.875035</v>
      </c>
      <c r="I52" s="75">
        <f t="shared" si="9"/>
        <v>145.591669</v>
      </c>
      <c r="J52" s="76">
        <f>I52*(IF($J$3="Rockbiter",1+U3,1)+IF(AND($J$3="Rockbiter",$F$11),U3*U4,0))*IF($J$6,0.75,1)*IF($J$7,0.8,1)*IF($F$17,1.02,1)*IF($F$18,0.98,1)*(1+U5)</f>
        <v>107.0098767</v>
      </c>
      <c r="K52" s="18">
        <f t="shared" si="4"/>
        <v>0.0816462422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482.5955347</v>
      </c>
      <c r="I55" s="75">
        <f>IF(J4="Searing",H55/C55,0)+IF(J4="Nova+Searing",((H55*(ROUNDDOWN((15-(4-D16))/C55,0)))/15),0)</f>
        <v>193.0382139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0.1082537543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276.3025173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1499.123052</v>
      </c>
      <c r="I57" s="75">
        <f>IF(J4="Nova",(H57/C57)*H4,0)+IF(J4="Nova+Magma",(H57/C57)*H4,0)+IF(J4="Nova+Searing",(H57/C57)*H4,0)</f>
        <v>99.94153678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0.056046139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18.0551369</v>
      </c>
      <c r="J59" s="75">
        <f>I59*(IF($J$3="Rockbiter",1+U3,1)+IF(AND($J$3="Rockbiter",$F$11),U3*U4,0))*IF($J$6,0.75,1)*IF($J$7,0.8,1)*IF($F$17,1.02,1)*IF($F$18,0.98,1)*(1+U5)</f>
        <v>13.27052562</v>
      </c>
      <c r="K59" s="18">
        <f t="shared" si="12"/>
        <v>0.0101251266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859.0025045</v>
      </c>
      <c r="D61" s="103">
        <f>$H$50*2/15</f>
        <v>234.0109068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397.2079392</v>
      </c>
      <c r="F61" s="103">
        <f>IF(J4="Magma",I56,0)+IF($J$4="Searing",I55,0)+IF($J$4="Nova",I57,0)+B76+B77</f>
        <v>292.9797507</v>
      </c>
      <c r="G61" s="103">
        <f>SUM(C61,D61,E61,F61)</f>
        <v>1783.201101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1776.229083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1181.311701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859.0025045</v>
      </c>
      <c r="D62" s="103">
        <f>$H$50/5</f>
        <v>351.0163603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139.5899993</v>
      </c>
      <c r="F62" s="103">
        <f>IF(J4="Magma",I56,0)+IF($J$4="Searing",I55,0)+IF($J$4="Nova",I57,0)+B76+B77</f>
        <v>292.9797507</v>
      </c>
      <c r="G62" s="103">
        <f>C62+D62+E62+F62</f>
        <v>1642.588615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1635.616597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1120.961027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749.5848756</v>
      </c>
      <c r="C66" s="112">
        <f>(B66*((((60/C43)+(60/C46)+(60/C49)+IF(J3="Windfury",60/C44,0))*1-$P$2)*0.185))/60</f>
        <v>79.08688166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1291.496107</v>
      </c>
      <c r="C67" s="103">
        <f>(B67*((((60/C43)+(60/C46)+(60/C49)+IF(J3="Windfury",60/C44,0))*(1-P2))*0.08633)/60)</f>
        <v>60.12414333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37.09951774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364.7104255</v>
      </c>
      <c r="C70" s="103">
        <f>((B70/C43)*K66+(B70/C46)*K66+(B70/C49)*K66+IF(J3="Windfury",(B70/C44)*K66,0))*(1-SUM(P2:P3))</f>
        <v>14.16037432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292.9797507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121.5348624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632.1333691</v>
      </c>
      <c r="C112" s="88">
        <f>(60/C43)*0.05+(60/C46)*0.05+(60/C49)*0.05+IF(J3="Windfury",(60/C44)*0.05,0)</f>
        <v>1.713733631</v>
      </c>
      <c r="D112" s="88">
        <f>(B112*C112)/60</f>
        <v>18.0551369</v>
      </c>
      <c r="E112" s="88">
        <f>0.33*IF(J3="Flametongue",1.3,1)*(1+(0.05*D12))*(1+(N17/2))*(0.83+N18)*P13*(1-SUM(P2:P3))*IF(H18,1.1,1)*IF(H19,1.15,1)*IF(H20,1.1,1)</f>
        <v>0.6525381906</v>
      </c>
      <c r="F112" s="88">
        <f>(E112*C112)/60</f>
        <v>0.01863794405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1725.360277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59.54616936</v>
      </c>
    </row>
    <row r="117">
      <c r="A117" s="8" t="s">
        <v>282</v>
      </c>
      <c r="B117" s="75">
        <f>(AVERAGE(493,552)+N15*(2.5/3.5))*1.05*1.1*1.1666*1.05*(1+(N17))*(0.83+N18)*P13</f>
        <v>1634.114757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56.39707564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1756.919972</v>
      </c>
      <c r="C119" s="4"/>
      <c r="D119" s="4"/>
      <c r="E119" s="138">
        <f>E118+(B119*D118/60)</f>
        <v>119.3359017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390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'Main(automatic)'!B10+100</f>
        <v>206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7090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18438.64082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0.1011783784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0.9522108486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987.0287552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1523.167457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0.7121501914</v>
      </c>
      <c r="C26" s="18">
        <f>1-B26</f>
        <v>0.2878498086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0.3095264888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0.2098118866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117.9249625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0.06663043319</v>
      </c>
      <c r="L46" s="80">
        <f>IF($J$2="Lightning",(182*(1-J26*0.2)),(182*(1-J26*0.2))-(150+($N$3/10)))-($P$17*0.6*182)</f>
        <v>78.01857534</v>
      </c>
      <c r="M46" s="74">
        <f>L46/C46</f>
        <v>8.668730593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0.02655714304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0.06812649877</v>
      </c>
      <c r="L48" s="80">
        <f>IF($J$2="Lightning",(182*(1-J26*0.2)),(182*(1-J26*0.2))-(150+($N$3/10)))-($P$17*0.6*182)</f>
        <v>78.01857534</v>
      </c>
      <c r="M48" s="74">
        <f t="shared" ref="M48:M51" si="7">L48/C48</f>
        <v>8.668730593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0.1261813829</v>
      </c>
      <c r="L49" s="80">
        <f>(152*(1-J26*0.2))-($P$17*0.6*152)</f>
        <v>65.15837061</v>
      </c>
      <c r="M49" s="74">
        <f t="shared" si="7"/>
        <v>8.144796326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1110.781626</v>
      </c>
      <c r="I50" s="75">
        <f>H50*2/15</f>
        <v>148.1042168</v>
      </c>
      <c r="J50" s="76">
        <f>I50*(IF($J$3="Rockbiter",1+U3,1)+IF(AND($J$3="Rockbiter",$F$11),U3*U4,0))*IF($J$6,0.75,1)*IF($J$7,0.8,1)*IF($F$17,1.02,1)*IF($F$18,0.98,1)*1.5*(1+U5)</f>
        <v>166.6172439</v>
      </c>
      <c r="K50" s="18">
        <f t="shared" si="4"/>
        <v>0.09723436254</v>
      </c>
      <c r="L50" s="80">
        <f>(450*(1-($D$10*0.02))*(1-J26*0.2))-($P$17*0.6*450)</f>
        <v>192.9030709</v>
      </c>
      <c r="M50" s="74">
        <f t="shared" si="7"/>
        <v>38.58061418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650.8284338</v>
      </c>
      <c r="I51" s="75">
        <f t="shared" ref="I51:I52" si="9">H51/15</f>
        <v>43.38856226</v>
      </c>
      <c r="J51" s="76">
        <f>I51*(IF($J$3="Rockbiter",1+U3,1)+IF(AND($J$3="Rockbiter",$F$11),U3*U4,0))*IF($J$6,0.75,1)*IF($J$7,0.8,1)*IF($F$17,1.02,1)*IF($F$18,0.98,1)*(1+U5)</f>
        <v>32.54142169</v>
      </c>
      <c r="K51" s="18">
        <f t="shared" si="4"/>
        <v>0.02848574662</v>
      </c>
      <c r="L51" s="80">
        <f>(410*(1-($D$10*0.02))*(1-J26*0.2)-($P$17*0.6*450))</f>
        <v>152.9030709</v>
      </c>
      <c r="M51" s="74">
        <f t="shared" si="7"/>
        <v>30.58061418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544.6212339</v>
      </c>
      <c r="I52" s="75">
        <f t="shared" si="9"/>
        <v>36.30808226</v>
      </c>
      <c r="J52" s="76">
        <f>I52*(IF($J$3="Rockbiter",1+U3,1)+IF(AND($J$3="Rockbiter",$F$11),U3*U4,0))*IF($J$6,0.75,1)*IF($J$7,0.8,1)*IF($F$17,1.02,1)*IF($F$18,0.98,1)*(1+U5)</f>
        <v>27.2310617</v>
      </c>
      <c r="K52" s="18">
        <f t="shared" si="4"/>
        <v>0.02383722294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0.04360883466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58.16145373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90.02417904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522.7360737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1125.174972</v>
      </c>
      <c r="D61" s="103">
        <f>$H$50*2/15</f>
        <v>148.1042168</v>
      </c>
      <c r="E61" s="103">
        <f>IF($H$6,IF($J$2="Lightning",$H$53/$H$7,0),0)+IF(J2="Lightning",I48,0)+(($H$51+$H$52)/15)+IF(F21,C66,0)+IF(F22,C67,0)+IF(F9,IF(H6,C69,0),0)+IF(F23,C68,0)+IF(F24,C70,0)</f>
        <v>249.8882683</v>
      </c>
      <c r="F61" s="103">
        <f>IF(J4="Magma",I56,0)+IF($J$4="Searing",I55,0)+IF($J$4="Nova",I57,0)+B76+B77</f>
        <v>0</v>
      </c>
      <c r="G61" s="103">
        <f>SUM(C61,D61,E61,F61)</f>
        <v>1523.167457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1528.974963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987.0287552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1125.174972</v>
      </c>
      <c r="D62" s="103">
        <f>$H$50/5</f>
        <v>222.1563252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1517.522921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1523.330427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1010.564894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447.9132085</v>
      </c>
      <c r="C66" s="112">
        <f>(B66*((((60/C43)+(60/C46)+(60/C49)+IF(J3="Windfury",60/C44,0))*1-$P$2)*0.185))/60</f>
        <v>69.8577831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166.2194669</v>
      </c>
      <c r="C67" s="103">
        <f>(B67*((((60/C43)+(60/C46)+(60/C49)+IF(J3="Windfury",60/C44,0))*(1-P2))*0.08633)/60)</f>
        <v>11.46826234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31.70634407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192.7323536</v>
      </c>
      <c r="C70" s="103">
        <f>((B70/C43)*K66+(B70/C46)*K66+(B70/C49)*K66+IF(J3="Windfury",(B70/C44)*K66,0))*(1-SUM(P2:P3))</f>
        <v>11.09024433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'Main(manual)'!B14+1</f>
        <v>1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0.8469571179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1171.833303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1767.31842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0.307971165</v>
      </c>
      <c r="C26" s="18">
        <f>1-B26</f>
        <v>0.692028835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I43*(IF($J$3="Rockbiter",1+U3,1)+IF(AND($J$3="Rockbiter",$F$11),U3*U4,0))*IF($J$6,0.75,1)*IF($J$7,0.8,1)*IF($F$17,1.02,1)*IF($F$18,0.98,1)*(1-U7)*(1+U5)</f>
        <v>228.9486181</v>
      </c>
      <c r="K43" s="18">
        <f t="shared" ref="K43:K52" si="4">I43/$B$23</f>
        <v>0.1762527425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456.2733773</v>
      </c>
      <c r="I45" s="75">
        <f>IF($J$3="Flametongue",(H45/C45)+(H45/C46)+(H45/C49)+IF(F23,((H45/C45)+(H45/C46)+(H45/C49))*K67,0))</f>
        <v>260.6436772</v>
      </c>
      <c r="J45" s="76">
        <f>I45*(IF($J$3="Rockbiter",1+U3,1)+IF(AND($J$3="Rockbiter",$F$11),U3*U4,0))*IF($J$6,0.7,1)*IF($J$7,0.8,1)*IF($F$17,1.02,1)*IF($F$18,0.98,1)*(1-U7)*(1+U5)</f>
        <v>178.8015626</v>
      </c>
      <c r="K45" s="18">
        <f t="shared" si="4"/>
        <v>0.1474797491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0.05299402313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252.1397741</v>
      </c>
      <c r="G47" s="79">
        <f>(($F$3+($N$3/E43))*(0.2)+($D$47*$N$15))*(1+U8)*IF($H$20,1+(0.1*H67),1)*(1+(D17*0.05))*IF(J23,1+U9,1)</f>
        <v>292.1188596</v>
      </c>
      <c r="H47" s="79">
        <f>(AVERAGE(F47,G47)*($P$10+$U$8)*(1.5+($D$17*0.25))+(AVERAGE(F47,G47)*(1-$P$2-$P$3-$P$4-($P$10+U8)))+((AVERAGE(F47,G47)-$P$6)*$P$4))*IF(J23,1+U9,1)</f>
        <v>442.7884146</v>
      </c>
      <c r="I47" s="75">
        <f t="shared" si="6"/>
        <v>49.19871274</v>
      </c>
      <c r="J47" s="76">
        <f>I47*(IF($J$3="Rockbiter",1+U3,1)+IF(AND($J$3="Rockbiter",$F$11),U3*U4,0))*IF($J$6,0.75,1)*IF($J$7,0.8,1)*IF($F$17,1.02,1)*IF($F$18,0.98,1)*(1-U7)*(1+U5)</f>
        <v>36.16105386</v>
      </c>
      <c r="K47" s="18">
        <f t="shared" si="4"/>
        <v>0.02783805803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1305.784595</v>
      </c>
      <c r="G48" s="74">
        <f>IF($J$2="Lightning",(198+(D48*N15)+(E48*$N$3))*IF($J$23,1+U9,1)*IF($F$12,1.15,1)*(1+(D17*0.05))*(1+(D9*0.01))*IF($H$20,1+(0.1*H67),1)*IF(J26,1.15,1),0)</f>
        <v>1305.784595</v>
      </c>
      <c r="H48" s="79">
        <f>G48*((1-$P$14*0.0025)*$P$13)*(1-P2-P3)</f>
        <v>1158.701018</v>
      </c>
      <c r="I48" s="75">
        <f>IF(F15,((H48/C48)+(H48/C43)*0.15+(H48/C46)*0.15+(H48/C49)*0.15+IF(J3="Windfury",H48/C44,0)*0.15)*(1-P2),(H48/C48)*(1-P2))</f>
        <v>121.5348624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89.32812383</v>
      </c>
      <c r="K48" s="18">
        <f t="shared" si="4"/>
        <v>0.06876794864</v>
      </c>
      <c r="L48" s="80">
        <f>IF($J$2="Lightning",(182*(1-J26*0.2)),(182*(1-J26*0.2))-(150+($N$3/10)))-($P$17*0.6*182)</f>
        <v>89.51228272</v>
      </c>
      <c r="M48" s="74">
        <f t="shared" ref="M48:M51" si="7">L48/C48</f>
        <v>9.945809191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0.07872439937</v>
      </c>
      <c r="L49" s="80">
        <f>(152*(1-J26*0.2))-($P$17*0.6*152)</f>
        <v>74.75751084</v>
      </c>
      <c r="M49" s="74">
        <f t="shared" si="7"/>
        <v>9.344688856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1425.799528</v>
      </c>
      <c r="G50" s="80">
        <f>(520+(E50*$N$3)+(D50*$N$15)+IF(F7,30,0))*(1+(D17*0.05))*(1+(D9*0.01))*IF($J$23,1+U9,1)*IF(F14,1.1,1)*IF(J26,1.15,1)*IF($H$20,1+(0.1*H67),1)</f>
        <v>1467.657972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1725.291897</v>
      </c>
      <c r="I50" s="75">
        <f>H50*2/15</f>
        <v>230.0389196</v>
      </c>
      <c r="J50" s="76">
        <f>I50*(IF($J$3="Rockbiter",1+U3,1)+IF(AND($J$3="Rockbiter",$F$11),U3*U4,0))*IF($J$6,0.75,1)*IF($J$7,0.8,1)*IF($F$17,1.02,1)*IF($F$18,0.98,1)*1.5*(1+U5)</f>
        <v>253.6179088</v>
      </c>
      <c r="K50" s="18">
        <f t="shared" si="4"/>
        <v>0.13016269</v>
      </c>
      <c r="L50" s="80">
        <f>(450*(1-($D$10*0.02))*(1-J26*0.2))-($P$17*0.6*450)</f>
        <v>203.3215782</v>
      </c>
      <c r="M50" s="74">
        <f t="shared" si="7"/>
        <v>40.66431563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H51" s="80">
        <f>(AVERAGE(F51,G51))*(($N$17+$U$8+IF($F$14,0.05,0))*(1.5+($D$17*0.25)))+(AVERAGE(F51,G51))*((MIN(IF($H$3=63,0.83+$N$18,0.96+$N$18-(($H$3-60)*0.01)),0.99))-($N$17+$U$8+IF($F$14,0.05,0)))*((1-$P$15*0.0025)*$P$13)</f>
        <v>1651.871873</v>
      </c>
      <c r="I51" s="75">
        <f t="shared" ref="I51:I52" si="9">H51/15</f>
        <v>110.1247915</v>
      </c>
      <c r="J51" s="76">
        <f>I51*(IF($J$3="Rockbiter",1+U3,1)+IF(AND($J$3="Rockbiter",$F$11),U3*U4,0))*IF($J$6,0.75,1)*IF($J$7,0.8,1)*IF($F$17,1.02,1)*IF($F$18,0.98,1)*(1+U5)</f>
        <v>80.94172176</v>
      </c>
      <c r="K51" s="18">
        <f t="shared" si="4"/>
        <v>0.06231179976</v>
      </c>
      <c r="L51" s="80">
        <f>(410*(1-($D$10*0.02))*(1-J26*0.2)-($P$17*0.6*450))</f>
        <v>164.9215782</v>
      </c>
      <c r="M51" s="74">
        <f t="shared" si="7"/>
        <v>32.98431563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H52" s="80">
        <f>(AVERAGE(F52,G52))*MIN(IF($H$3=63,0.83+$N$18,0.96+$N$18-(($H$3-60)*0.01)),0.99)*((1-$P$15*0.0025)*$P$13)*5</f>
        <v>2183.875035</v>
      </c>
      <c r="I52" s="75">
        <f t="shared" si="9"/>
        <v>145.591669</v>
      </c>
      <c r="J52" s="76">
        <f>I52*(IF($J$3="Rockbiter",1+U3,1)+IF(AND($J$3="Rockbiter",$F$11),U3*U4,0))*IF($J$6,0.75,1)*IF($J$7,0.8,1)*IF($F$17,1.02,1)*IF($F$18,0.98,1)*(1+U5)</f>
        <v>107.0098767</v>
      </c>
      <c r="K52" s="18">
        <f t="shared" si="4"/>
        <v>0.08237998729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474.4041929</v>
      </c>
      <c r="I55" s="75">
        <f>IF(J4="Searing",H55/C55,0)+IF(J4="Nova+Searing",((H55*(ROUNDDOWN((15-(4-D16))/C55,0)))/15),0)</f>
        <v>189.7616772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0.1073726585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271.6126929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1473.677666</v>
      </c>
      <c r="I57" s="75">
        <f>IF(J4="Nova",(H57/C57)*H4,0)+IF(J4="Nova+Magma",(H57/C57)*H4,0)+IF(J4="Nova+Searing",(H57/C57)*H4,0)</f>
        <v>98.24517777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0.05558996989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17.89582006</v>
      </c>
      <c r="J59" s="75">
        <f>I59*(IF($J$3="Rockbiter",1+U3,1)+IF(AND($J$3="Rockbiter",$F$11),U3*U4,0))*IF($J$6,0.75,1)*IF($J$7,0.8,1)*IF($F$17,1.02,1)*IF($F$18,0.98,1)*(1+U5)</f>
        <v>13.15342774</v>
      </c>
      <c r="K59" s="18">
        <f t="shared" si="12"/>
        <v>0.01012597382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854.1255027</v>
      </c>
      <c r="D61" s="103">
        <f>$H$50*2/15</f>
        <v>230.0389196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395.1471429</v>
      </c>
      <c r="F61" s="103">
        <f>IF(J4="Magma",I56,0)+IF($J$4="Searing",I55,0)+IF($J$4="Nova",I57,0)+B76+B77</f>
        <v>288.0068549</v>
      </c>
      <c r="G61" s="103">
        <f>SUM(C61,D61,E61,F61)</f>
        <v>1767.31842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1760.434573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1171.833303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854.1255027</v>
      </c>
      <c r="D62" s="103">
        <f>$H$50/5</f>
        <v>345.0583794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139.4306824</v>
      </c>
      <c r="F62" s="103">
        <f>IF(J4="Magma",I56,0)+IF($J$4="Searing",I55,0)+IF($J$4="Nova",I57,0)+B76+B77</f>
        <v>288.0068549</v>
      </c>
      <c r="G62" s="103">
        <f>C62+D62+E62+F62</f>
        <v>1626.621419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1619.737573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1110.690659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1281.4413</v>
      </c>
      <c r="C67" s="103">
        <f>(B67*((((60/C43)+(60/C46)+(60/C49)+IF(J3="Windfury",60/C44,0))*(1-P2))*0.08633)/60)</f>
        <v>59.65605312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361.4922547</v>
      </c>
      <c r="C70" s="103">
        <f>((B70/C43)*K66+(B70/C46)*K66+(B70/C49)*K66+IF(J3="Windfury",(B70/C44)*K66,0))*(1-SUM(P2:P3))</f>
        <v>14.03542449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288.0068549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121.5348624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626.5554832</v>
      </c>
      <c r="C112" s="88">
        <f>(60/C43)*0.05+(60/C46)*0.05+(60/C49)*0.05+IF(J3="Windfury",(60/C44)*0.05,0)</f>
        <v>1.713733631</v>
      </c>
      <c r="D112" s="88">
        <f>(B112*C112)/60</f>
        <v>17.89582006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1697.464498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58.58342155</v>
      </c>
    </row>
    <row r="117">
      <c r="A117" s="8" t="s">
        <v>282</v>
      </c>
      <c r="B117" s="75">
        <f>(AVERAGE(493,552)+N15*(2.5/3.5))*1.05*1.1*1.1666*1.05*(1+(N17))*(0.83+N18)*P13</f>
        <v>1607.694243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55.48524267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1728.513932</v>
      </c>
      <c r="C119" s="4"/>
      <c r="D119" s="4"/>
      <c r="E119" s="138">
        <f>E118+(B119*D118/60)</f>
        <v>118.3555436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'Main(automatic)'!B14+1</f>
        <v>1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109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984.8245527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1521.008582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0.7131609969</v>
      </c>
      <c r="C26" s="18">
        <f>1-B26</f>
        <v>0.2868390031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0.3099658218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0.2101096875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115.6849141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0.06672500651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0.02659483748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0.06822319556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0.1263604811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1099.080713</v>
      </c>
      <c r="I50" s="75">
        <f>H50*2/15</f>
        <v>146.5440951</v>
      </c>
      <c r="J50" s="76">
        <f>I50*(IF($J$3="Rockbiter",1+U3,1)+IF(AND($J$3="Rockbiter",$F$11),U3*U4,0))*IF($J$6,0.75,1)*IF($J$7,0.8,1)*IF($F$17,1.02,1)*IF($F$18,0.98,1)*1.5*(1+U5)</f>
        <v>164.862107</v>
      </c>
      <c r="K50" s="18">
        <f t="shared" si="4"/>
        <v>0.09634665897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639.969118</v>
      </c>
      <c r="I51" s="75">
        <f t="shared" ref="I51:I52" si="9">H51/15</f>
        <v>42.66460787</v>
      </c>
      <c r="J51" s="76">
        <f>I51*(IF($J$3="Rockbiter",1+U3,1)+IF(AND($J$3="Rockbiter",$F$11),U3*U4,0))*IF($J$6,0.75,1)*IF($J$7,0.8,1)*IF($F$17,1.02,1)*IF($F$18,0.98,1)*(1+U5)</f>
        <v>31.9984559</v>
      </c>
      <c r="K51" s="18">
        <f t="shared" si="4"/>
        <v>0.02805020851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546.4992382</v>
      </c>
      <c r="I52" s="75">
        <f t="shared" si="9"/>
        <v>36.43328255</v>
      </c>
      <c r="J52" s="76">
        <f>I52*(IF($J$3="Rockbiter",1+U3,1)+IF(AND($J$3="Rockbiter",$F$11),U3*U4,0))*IF($J$6,0.75,1)*IF($J$7,0.8,1)*IF($F$17,1.02,1)*IF($F$18,0.98,1)*(1+U5)</f>
        <v>27.32496191</v>
      </c>
      <c r="K52" s="18">
        <f t="shared" si="4"/>
        <v>0.0239533708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0.04367073178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57.15080587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88.4598656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513.6527021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1125.174972</v>
      </c>
      <c r="D61" s="103">
        <f>$H$50*2/15</f>
        <v>146.5440951</v>
      </c>
      <c r="E61" s="103">
        <f>IF($H$6,IF($J$2="Lightning",$H$53/$H$7,0),0)+IF(J2="Lightning",I48,0)+(($H$51+$H$52)/15)+IF(F21,C66,0)+IF(F22,C67,0)+IF(F9,IF(H6,C69,0),0)+IF(F23,C68,0)+IF(F24,C70,0)</f>
        <v>249.2895141</v>
      </c>
      <c r="F61" s="103">
        <f>IF(J4="Magma",I56,0)+IF($J$4="Searing",I55,0)+IF($J$4="Nova",I57,0)+B76+B77</f>
        <v>0</v>
      </c>
      <c r="G61" s="103">
        <f>SUM(C61,D61,E61,F61)</f>
        <v>1521.008582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1526.816087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984.8245527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1125.174972</v>
      </c>
      <c r="D62" s="103">
        <f>$H$50/5</f>
        <v>219.8161427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1515.182739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1520.990244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1007.932188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'Main(manual)'!B15+1</f>
        <v>386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740.7603762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0.8469571179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1171.975845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1767.466477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0.3079453669</v>
      </c>
      <c r="C26" s="18">
        <f>1-B26</f>
        <v>0.6920546331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I43*(IF($J$3="Rockbiter",1+U3,1)+IF(AND($J$3="Rockbiter",$F$11),U3*U4,0))*IF($J$6,0.75,1)*IF($J$7,0.8,1)*IF($F$17,1.02,1)*IF($F$18,0.98,1)*(1-U7)*(1+U5)</f>
        <v>228.9486181</v>
      </c>
      <c r="K43" s="18">
        <f t="shared" ref="K43:K52" si="4">I43/$B$23</f>
        <v>0.1762379782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456.2733773</v>
      </c>
      <c r="I45" s="75">
        <f>IF($J$3="Flametongue",(H45/C45)+(H45/C46)+(H45/C49)+IF(F23,((H45/C45)+(H45/C46)+(H45/C49))*K67,0))</f>
        <v>260.6436772</v>
      </c>
      <c r="J45" s="76">
        <f>I45*(IF($J$3="Rockbiter",1+U3,1)+IF(AND($J$3="Rockbiter",$F$11),U3*U4,0))*IF($J$6,0.7,1)*IF($J$7,0.8,1)*IF($F$17,1.02,1)*IF($F$18,0.98,1)*(1-U7)*(1+U5)</f>
        <v>178.8015626</v>
      </c>
      <c r="K45" s="18">
        <f t="shared" si="4"/>
        <v>0.147467395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0.05298958392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252.2166569</v>
      </c>
      <c r="G47" s="79">
        <f>(($F$3+($N$3/E43))*(0.2)+($D$47*$N$15))*(1+U8)*IF($H$20,1+(0.1*H67),1)*(1+(D17*0.05))*IF(J23,1+U9,1)</f>
        <v>292.1957424</v>
      </c>
      <c r="H47" s="79">
        <f>(AVERAGE(F47,G47)*($P$10+$U$8)*(1.5+($D$17*0.25))+(AVERAGE(F47,G47)*(1-$P$2-$P$3-$P$4-($P$10+U8)))+((AVERAGE(F47,G47)-$P$6)*$P$4))*IF(J23,1+U9,1)</f>
        <v>442.9135127</v>
      </c>
      <c r="I47" s="75">
        <f t="shared" si="6"/>
        <v>49.21261252</v>
      </c>
      <c r="J47" s="76">
        <f>I47*(IF($J$3="Rockbiter",1+U3,1)+IF(AND($J$3="Rockbiter",$F$11),U3*U4,0))*IF($J$6,0.75,1)*IF($J$7,0.8,1)*IF($F$17,1.02,1)*IF($F$18,0.98,1)*(1-U7)*(1+U5)</f>
        <v>36.1712702</v>
      </c>
      <c r="K47" s="18">
        <f t="shared" si="4"/>
        <v>0.02784359033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1306.240179</v>
      </c>
      <c r="G48" s="74">
        <f>IF($J$2="Lightning",(198+(D48*N15)+(E48*$N$3))*IF($J$23,1+U9,1)*IF($F$12,1.15,1)*(1+(D17*0.05))*(1+(D9*0.01))*IF($H$20,1+(0.1*H67),1)*IF(J26,1.15,1),0)</f>
        <v>1306.240179</v>
      </c>
      <c r="H48" s="79">
        <f>G48*((1-$P$14*0.0025)*$P$13)*(1-P2-P3)</f>
        <v>1159.105286</v>
      </c>
      <c r="I48" s="75">
        <f>IF(F15,((H48/C48)+(H48/C43)*0.15+(H48/C46)*0.15+(H48/C49)*0.15+IF(J3="Windfury",H48/C44,0)*0.15)*(1-P2),(H48/C48)*(1-P2))</f>
        <v>121.5772655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89.35929015</v>
      </c>
      <c r="K48" s="18">
        <f t="shared" si="4"/>
        <v>0.06878617901</v>
      </c>
      <c r="L48" s="80">
        <f>IF($J$2="Lightning",(182*(1-J26*0.2)),(182*(1-J26*0.2))-(150+($N$3/10)))-($P$17*0.6*182)</f>
        <v>89.51228272</v>
      </c>
      <c r="M48" s="74">
        <f t="shared" ref="M48:M51" si="7">L48/C48</f>
        <v>9.945809191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0.07871780478</v>
      </c>
      <c r="L49" s="80">
        <f>(152*(1-J26*0.2))-($P$17*0.6*152)</f>
        <v>74.75751084</v>
      </c>
      <c r="M49" s="74">
        <f t="shared" si="7"/>
        <v>9.344688856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1426.376576</v>
      </c>
      <c r="G50" s="80">
        <f>(520+(E50*$N$3)+(D50*$N$15)+IF(F7,30,0))*(1+(D17*0.05))*(1+(D9*0.01))*IF($J$23,1+U9,1)*IF(F14,1.1,1)*IF(J26,1.15,1)*IF($H$20,1+(0.1*H67),1)</f>
        <v>1468.23502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1725.980054</v>
      </c>
      <c r="I50" s="75">
        <f>H50*2/15</f>
        <v>230.1306739</v>
      </c>
      <c r="J50" s="76">
        <f>I50*(IF($J$3="Rockbiter",1+U3,1)+IF(AND($J$3="Rockbiter",$F$11),U3*U4,0))*IF($J$6,0.75,1)*IF($J$7,0.8,1)*IF($F$17,1.02,1)*IF($F$18,0.98,1)*1.5*(1+U5)</f>
        <v>253.719068</v>
      </c>
      <c r="K50" s="18">
        <f t="shared" si="4"/>
        <v>0.1302036994</v>
      </c>
      <c r="L50" s="80">
        <f>(450*(1-($D$10*0.02))*(1-J26*0.2))-($P$17*0.6*450)</f>
        <v>203.3215782</v>
      </c>
      <c r="M50" s="74">
        <f t="shared" si="7"/>
        <v>40.66431563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H51" s="80">
        <f>(AVERAGE(F51,G51))*(($N$17+$U$8+IF($F$14,0.05,0))*(1.5+($D$17*0.25)))+(AVERAGE(F51,G51))*((MIN(IF($H$3=63,0.83+$N$18,0.96+$N$18-(($H$3-60)*0.01)),0.99))-($N$17+$U$8+IF($F$14,0.05,0)))*((1-$P$15*0.0025)*$P$13)</f>
        <v>1651.871873</v>
      </c>
      <c r="I51" s="75">
        <f t="shared" ref="I51:I52" si="9">H51/15</f>
        <v>110.1247915</v>
      </c>
      <c r="J51" s="76">
        <f>I51*(IF($J$3="Rockbiter",1+U3,1)+IF(AND($J$3="Rockbiter",$F$11),U3*U4,0))*IF($J$6,0.75,1)*IF($J$7,0.8,1)*IF($F$17,1.02,1)*IF($F$18,0.98,1)*(1+U5)</f>
        <v>80.94172176</v>
      </c>
      <c r="K51" s="18">
        <f t="shared" si="4"/>
        <v>0.06230658002</v>
      </c>
      <c r="L51" s="80">
        <f>(410*(1-($D$10*0.02))*(1-J26*0.2)-($P$17*0.6*450))</f>
        <v>164.9215782</v>
      </c>
      <c r="M51" s="74">
        <f t="shared" si="7"/>
        <v>32.98431563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H52" s="80">
        <f>(AVERAGE(F52,G52))*MIN(IF($H$3=63,0.83+$N$18,0.96+$N$18-(($H$3-60)*0.01)),0.99)*((1-$P$15*0.0025)*$P$13)*5</f>
        <v>2183.875035</v>
      </c>
      <c r="I52" s="75">
        <f t="shared" si="9"/>
        <v>145.591669</v>
      </c>
      <c r="J52" s="76">
        <f>I52*(IF($J$3="Rockbiter",1+U3,1)+IF(AND($J$3="Rockbiter",$F$11),U3*U4,0))*IF($J$6,0.75,1)*IF($J$7,0.8,1)*IF($F$17,1.02,1)*IF($F$18,0.98,1)*(1+U5)</f>
        <v>107.0098767</v>
      </c>
      <c r="K52" s="18">
        <f t="shared" si="4"/>
        <v>0.08237308648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591.6736248</v>
      </c>
      <c r="G53" s="74">
        <f>(198+($N$15*$D$53))*(1+(D17*0.05))*(1+(D9*0.01))*IF(J26,1.15,1)*IF($H$20,1+(0.1*H67),1)*IF(J23,1+U9,1)</f>
        <v>591.6736248</v>
      </c>
      <c r="H53" s="74">
        <f>F53*((1-$P$14*0.0025)*$P$13)</f>
        <v>556.1732073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474.4041929</v>
      </c>
      <c r="I55" s="75">
        <f>IF(J4="Searing",H55/C55,0)+IF(J4="Nova+Searing",((H55*(ROUNDDOWN((15-(4-D16))/C55,0)))/15),0)</f>
        <v>189.7616772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0.1073636641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271.6126929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1473.677666</v>
      </c>
      <c r="I57" s="75">
        <f>IF(J4="Nova",(H57/C57)*H4,0)+IF(J4="Nova+Magma",(H57/C57)*H4,0)+IF(J4="Nova+Searing",(H57/C57)*H4,0)</f>
        <v>98.24517777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0.05558531323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17.89582006</v>
      </c>
      <c r="J59" s="75">
        <f>I59*(IF($J$3="Rockbiter",1+U3,1)+IF(AND($J$3="Rockbiter",$F$11),U3*U4,0))*IF($J$6,0.75,1)*IF($J$7,0.8,1)*IF($F$17,1.02,1)*IF($F$18,0.98,1)*(1+U5)</f>
        <v>13.15342774</v>
      </c>
      <c r="K59" s="18">
        <f t="shared" si="12"/>
        <v>0.01012512559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854.1394025</v>
      </c>
      <c r="D61" s="103">
        <f>$H$50*2/15</f>
        <v>230.1306739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395.1895461</v>
      </c>
      <c r="F61" s="103">
        <f>IF(J4="Magma",I56,0)+IF($J$4="Searing",I55,0)+IF($J$4="Nova",I57,0)+B76+B77</f>
        <v>288.0068549</v>
      </c>
      <c r="G61" s="103">
        <f>SUM(C61,D61,E61,F61)</f>
        <v>1767.466477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1760.585146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1171.975845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854.1394025</v>
      </c>
      <c r="D62" s="103">
        <f>$H$50/5</f>
        <v>345.1960109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139.4730856</v>
      </c>
      <c r="F62" s="103">
        <f>IF(J4="Magma",I56,0)+IF($J$4="Searing",I55,0)+IF($J$4="Nova",I57,0)+B76+B77</f>
        <v>288.0068549</v>
      </c>
      <c r="G62" s="103">
        <f>C62+D62+E62+F62</f>
        <v>1626.815354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1619.934023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1110.883781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1283.090696</v>
      </c>
      <c r="C67" s="103">
        <f>(B67*((((60/C43)+(60/C46)+(60/C49)+IF(J3="Windfury",60/C44,0))*(1-P2))*0.08633)/60)</f>
        <v>59.73283891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361.7277913</v>
      </c>
      <c r="C70" s="103">
        <f>((B70/C43)*K66+(B70/C46)*K66+(B70/C49)*K66+IF(J3="Windfury",(B70/C44)*K66,0))*(1-SUM(P2:P3))</f>
        <v>14.04456952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288.0068549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121.5772655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626.5554832</v>
      </c>
      <c r="C112" s="88">
        <f>(60/C43)*0.05+(60/C46)*0.05+(60/C49)*0.05+IF(J3="Windfury",(60/C44)*0.05,0)</f>
        <v>1.713733631</v>
      </c>
      <c r="D112" s="88">
        <f>(B112*C112)/60</f>
        <v>17.89582006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1698.775777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58.62867683</v>
      </c>
    </row>
    <row r="117">
      <c r="A117" s="8" t="s">
        <v>282</v>
      </c>
      <c r="B117" s="75">
        <f>(AVERAGE(493,552)+N15*(2.5/3.5))*1.05*1.1*1.1666*1.05*(1+(N17))*(0.83+N18)*P13</f>
        <v>1608.786976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55.5229554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1728.513932</v>
      </c>
      <c r="C119" s="4"/>
      <c r="D119" s="4"/>
      <c r="E119" s="138">
        <f>E118+(B119*D118/60)</f>
        <v>118.3555436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'Main(automatic)'!B15+1</f>
        <v>1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66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984.8486098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1521.005324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0.7131625242</v>
      </c>
      <c r="C26" s="18">
        <f>1-B26</f>
        <v>0.2868374758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0.3099664856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0.2101101375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115.4269933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0.0667251494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217.8196429</v>
      </c>
      <c r="G47" s="74">
        <f>(($F$3+($N$3/E43))*(0.2)+($D$47*$N$15))*(1+U8)*IF($H$20,1+(0.1*H67),1)*(1+(D17*0.05))*IF(J23,1+U9,1)</f>
        <v>251.9196429</v>
      </c>
      <c r="H47" s="79">
        <f>(AVERAGE(F47,G47)*($P$10+$U$8)*(1.5+($D$17*0.25))+(AVERAGE(F47,G47)*(1-$P$2-$P$3-$P$4-($P$10+U8)))+((AVERAGE(F47,G47)-$P$6)*$P$4))*IF(J23,1+U9,1)</f>
        <v>364.1653813</v>
      </c>
      <c r="I47" s="75">
        <f t="shared" si="6"/>
        <v>40.46282014</v>
      </c>
      <c r="J47" s="76">
        <f>I47*(IF($J$3="Rockbiter",1+U3,1)+IF(AND($J$3="Rockbiter",$F$11),U3*U4,0))*IF($J$6,0.75,1)*IF($J$7,0.8,1)*IF($F$17,1.02,1)*IF($F$18,0.98,1)*(1-U7)*(1+U5)</f>
        <v>22.76337104</v>
      </c>
      <c r="K47" s="18">
        <f t="shared" si="4"/>
        <v>0.02660268146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1108.2435</v>
      </c>
      <c r="G48" s="74">
        <f>IF($J$2="Lightning",(198+(D48*N15)+(E48*$N$3))*IF($J$23,1+U9,1)*IF($F$12,1.15,1)*(1+(D17*0.05))*(1+(D9*0.01))*IF($H$20,1+(0.1*H67),1)*IF(J26,1.15,1),0)</f>
        <v>1108.2435</v>
      </c>
      <c r="H48" s="79">
        <f>G48*((1-$P$14*0.0025)*$P$13)*(1-P2-P3)</f>
        <v>986.5361988</v>
      </c>
      <c r="I48" s="75">
        <f>IF(F15,((H48/C48)+(H48/C43)*0.15+(H48/C46)*0.15+(H48/C49)*0.15+IF(J3="Windfury",H48/C44,0)*0.15)*(1-P2),(H48/C48)*(1-P2))</f>
        <v>103.8055311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77.85414836</v>
      </c>
      <c r="K48" s="18">
        <f t="shared" si="4"/>
        <v>0.06824797355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0.1263607517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1046.6841</v>
      </c>
      <c r="G50" s="80">
        <f>(520+(E50*$N$3)+(D50*$N$15)+IF(F7,30,0))*(1+(D17*0.05))*(1+(D9*0.01))*IF($J$23,1+U9,1)*IF(F14,1.1,1)*IF(J26,1.15,1)*IF($H$20,1+(0.1*H67),1)</f>
        <v>1087.1091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1099.655112</v>
      </c>
      <c r="I50" s="75">
        <f>H50*2/15</f>
        <v>146.6206816</v>
      </c>
      <c r="J50" s="76">
        <f>I50*(IF($J$3="Rockbiter",1+U3,1)+IF(AND($J$3="Rockbiter",$F$11),U3*U4,0))*IF($J$6,0.75,1)*IF($J$7,0.8,1)*IF($F$17,1.02,1)*IF($F$18,0.98,1)*1.5*(1+U5)</f>
        <v>164.9482668</v>
      </c>
      <c r="K50" s="18">
        <f t="shared" si="4"/>
        <v>0.09639721785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638.6745334</v>
      </c>
      <c r="I51" s="75">
        <f t="shared" ref="I51:I52" si="9">H51/15</f>
        <v>42.57830223</v>
      </c>
      <c r="J51" s="76">
        <f>I51*(IF($J$3="Rockbiter",1+U3,1)+IF(AND($J$3="Rockbiter",$F$11),U3*U4,0))*IF($J$6,0.75,1)*IF($J$7,0.8,1)*IF($F$17,1.02,1)*IF($F$18,0.98,1)*(1+U5)</f>
        <v>31.93372667</v>
      </c>
      <c r="K51" s="18">
        <f t="shared" si="4"/>
        <v>0.02799352609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544.6212339</v>
      </c>
      <c r="I52" s="75">
        <f t="shared" si="9"/>
        <v>36.30808226</v>
      </c>
      <c r="J52" s="76">
        <f>I52*(IF($J$3="Rockbiter",1+U3,1)+IF(AND($J$3="Rockbiter",$F$11),U3*U4,0))*IF($J$6,0.75,1)*IF($J$7,0.8,1)*IF($F$17,1.02,1)*IF($F$18,0.98,1)*(1+U5)</f>
        <v>27.2310617</v>
      </c>
      <c r="K52" s="18">
        <f t="shared" si="4"/>
        <v>0.02387110793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283.003875</v>
      </c>
      <c r="G53" s="74">
        <f>(198+($N$15*$D$53))*(1+(D17*0.05))*(1+(D9*0.01))*IF(J26,1.15,1)*IF($H$20,1+(0.1*H67),1)*IF(J23,1+U9,1)</f>
        <v>283.003875</v>
      </c>
      <c r="H53" s="74">
        <f>F53*((1-$P$14*0.0025)*$P$13)</f>
        <v>266.0236425</v>
      </c>
      <c r="I53" s="75">
        <f>IF(H6,H53/H7,0)</f>
        <v>66.50591063</v>
      </c>
      <c r="J53" s="76">
        <f>I53*(IF($J$3="Rockbiter",1+U3,1)+IF(AND($J$3="Rockbiter",$F$11),U3*U4,0))*IF($J$6,0.75,1)*IF($J$7,0.8,1)*IF($F$17,1.02,1)*IF($F$18,0.98,1)*(1+U5)</f>
        <v>49.87943297</v>
      </c>
      <c r="K53" s="18">
        <f>IF(H6,I53/$B$23,0)</f>
        <v>0.04372496898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57.02097072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88.25890255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512.4857863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1125.186817</v>
      </c>
      <c r="D61" s="103">
        <f>$H$50*2/15</f>
        <v>146.6206816</v>
      </c>
      <c r="E61" s="103">
        <f>IF($H$6,IF($J$2="Lightning",$H$53/$H$7,0),0)+IF(J2="Lightning",I48,0)+(($H$51+$H$52)/15)+IF(F21,C66,0)+IF(F22,C67,0)+IF(F9,IF(H6,C69,0),0)+IF(F23,C68,0)+IF(F24,C70,0)</f>
        <v>249.1978263</v>
      </c>
      <c r="F61" s="103">
        <f>IF(J4="Magma",I56,0)+IF($J$4="Searing",I55,0)+IF($J$4="Nova",I57,0)+B76+B77</f>
        <v>0</v>
      </c>
      <c r="G61" s="103">
        <f>SUM(C61,D61,E61,F61)</f>
        <v>1521.005324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1526.814926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984.8486098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1125.186817</v>
      </c>
      <c r="D62" s="103">
        <f>$H$50/5</f>
        <v>219.9310224</v>
      </c>
      <c r="E62" s="103">
        <f>IF($H$6,IF($J$2="Lightning",$H$53/$H$7,0),0)+IF(J2="Lightning",I48,0)+IF(F21,C66,0)+IF(F22,C67,0)+IF(F9,IF(H6,C69,0),0)+IF(F24,C70,0)</f>
        <v>170.3114418</v>
      </c>
      <c r="F62" s="103">
        <f>IF(J4="Magma",I56,0)+IF($J$4="Searing",I55,0)+IF($J$4="Nova",I57,0)+B76+B77</f>
        <v>0</v>
      </c>
      <c r="G62" s="103">
        <f>C62+D62+E62+F62</f>
        <v>1515.429281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1521.238883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1008.157955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167.4955492</v>
      </c>
      <c r="C67" s="103">
        <f>(B67*((((60/C43)+(60/C46)+(60/C49)+IF(J3="Windfury",60/C44,0))*(1-P2))*0.08633)/60)</f>
        <v>11.55630525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191.1570404</v>
      </c>
      <c r="C70" s="103">
        <f>((B70/C43)*K66+(B70/C46)*K66+(B70/C49)*K66+IF(J3="Windfury",(B70/C44)*K66,0))*(1-SUM(P2:P3))</f>
        <v>10.99959734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103.8055311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66.50591063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'Main(manual)'!B16+1</f>
        <v>433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772.7603762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0.8469571179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1172.030325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1767.792367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0.3078885976</v>
      </c>
      <c r="C26" s="18">
        <f>1-B26</f>
        <v>0.6921114024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I43*(IF($J$3="Rockbiter",1+U3,1)+IF(AND($J$3="Rockbiter",$F$11),U3*U4,0))*IF($J$6,0.75,1)*IF($J$7,0.8,1)*IF($F$17,1.02,1)*IF($F$18,0.98,1)*(1-U7)*(1+U5)</f>
        <v>228.9486181</v>
      </c>
      <c r="K43" s="18">
        <f t="shared" ref="K43:K52" si="4">I43/$B$23</f>
        <v>0.1762054889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395.2180856</v>
      </c>
      <c r="G45" s="74">
        <f>(29.5*$F$4+(D45*$N$16))*(1+IF(J3="Flametongue",0.1*$D$12,0))*(1+($D$14*0.05))*(1+($D$17*0.05))*IF($H$18,1.1,1)*IF($H$19,1.15,1)*IF($H$20,1+(0.1*H67),1)*IF(F27,1.45,1)</f>
        <v>395.2180856</v>
      </c>
      <c r="H45" s="74">
        <f>(AVERAGE(F45,G45))*(($N$17+$U$8)*(1.5+($D$17*0.25)))+(AVERAGE(F45,G45))*((MIN(IF($H$3=63,0.83+$N$18,0.96+$N$18-(($H$3-60)*0.01)),0.99))-($N$17+$U$8))*((1-$P$15*0.0025)*$P$13)*(1-P2-P3)</f>
        <v>456.5221957</v>
      </c>
      <c r="I45" s="75">
        <f>IF($J$3="Flametongue",(H45/C45)+(H45/C46)+(H45/C49)+IF(F23,((H45/C45)+(H45/C46)+(H45/C49))*K67,0))</f>
        <v>260.7858134</v>
      </c>
      <c r="J45" s="76">
        <f>I45*(IF($J$3="Rockbiter",1+U3,1)+IF(AND($J$3="Rockbiter",$F$11),U3*U4,0))*IF($J$6,0.7,1)*IF($J$7,0.8,1)*IF($F$17,1.02,1)*IF($F$18,0.98,1)*(1-U7)*(1+U5)</f>
        <v>178.899068</v>
      </c>
      <c r="K45" s="18">
        <f t="shared" si="4"/>
        <v>0.1475206128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0.05297981537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252.1397741</v>
      </c>
      <c r="G47" s="79">
        <f>(($F$3+($N$3/E43))*(0.2)+($D$47*$N$15))*(1+U8)*IF($H$20,1+(0.1*H67),1)*(1+(D17*0.05))*IF(J23,1+U9,1)</f>
        <v>292.1188596</v>
      </c>
      <c r="H47" s="79">
        <f>(AVERAGE(F47,G47)*($P$10+$U$8)*(1.5+($D$17*0.25))+(AVERAGE(F47,G47)*(1-$P$2-$P$3-$P$4-($P$10+U8)))+((AVERAGE(F47,G47)-$P$6)*$P$4))*IF(J23,1+U9,1)</f>
        <v>442.7884146</v>
      </c>
      <c r="I47" s="75">
        <f t="shared" si="6"/>
        <v>49.19871274</v>
      </c>
      <c r="J47" s="76">
        <f>I47*(IF($J$3="Rockbiter",1+U3,1)+IF(AND($J$3="Rockbiter",$F$11),U3*U4,0))*IF($J$6,0.75,1)*IF($J$7,0.8,1)*IF($F$17,1.02,1)*IF($F$18,0.98,1)*(1-U7)*(1+U5)</f>
        <v>36.16105386</v>
      </c>
      <c r="K47" s="18">
        <f t="shared" si="4"/>
        <v>0.02783059461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1305.784595</v>
      </c>
      <c r="G48" s="74">
        <f>IF($J$2="Lightning",(198+(D48*N15)+(E48*$N$3))*IF($J$23,1+U9,1)*IF($F$12,1.15,1)*(1+(D17*0.05))*(1+(D9*0.01))*IF($H$20,1+(0.1*H67),1)*IF(J26,1.15,1),0)</f>
        <v>1305.784595</v>
      </c>
      <c r="H48" s="79">
        <f>G48*((1-$P$14*0.0025)*$P$13)*(1-P2-P3)</f>
        <v>1158.701018</v>
      </c>
      <c r="I48" s="75">
        <f>IF(F15,((H48/C48)+(H48/C43)*0.15+(H48/C46)*0.15+(H48/C49)*0.15+IF(J3="Windfury",H48/C44,0)*0.15)*(1-P2),(H48/C48)*(1-P2))</f>
        <v>121.5348624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89.32812383</v>
      </c>
      <c r="K48" s="18">
        <f t="shared" si="4"/>
        <v>0.06874951188</v>
      </c>
      <c r="L48" s="80">
        <f>IF($J$2="Lightning",(182*(1-J26*0.2)),(182*(1-J26*0.2))-(150+($N$3/10)))-($P$17*0.6*182)</f>
        <v>89.51228272</v>
      </c>
      <c r="M48" s="74">
        <f t="shared" ref="M48:M51" si="7">L48/C48</f>
        <v>9.945809191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0.07870329327</v>
      </c>
      <c r="L49" s="80">
        <f>(152*(1-J26*0.2))-($P$17*0.6*152)</f>
        <v>74.75751084</v>
      </c>
      <c r="M49" s="74">
        <f t="shared" si="7"/>
        <v>9.344688856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1425.799528</v>
      </c>
      <c r="G50" s="80">
        <f>(520+(E50*$N$3)+(D50*$N$15)+IF(F7,30,0))*(1+(D17*0.05))*(1+(D9*0.01))*IF($J$23,1+U9,1)*IF(F14,1.1,1)*IF(J26,1.15,1)*IF($H$20,1+(0.1*H67),1)</f>
        <v>1467.657972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1725.291897</v>
      </c>
      <c r="I50" s="75">
        <f>H50*2/15</f>
        <v>230.0389196</v>
      </c>
      <c r="J50" s="76">
        <f>I50*(IF($J$3="Rockbiter",1+U3,1)+IF(AND($J$3="Rockbiter",$F$11),U3*U4,0))*IF($J$6,0.75,1)*IF($J$7,0.8,1)*IF($F$17,1.02,1)*IF($F$18,0.98,1)*1.5*(1+U5)</f>
        <v>253.6179088</v>
      </c>
      <c r="K50" s="18">
        <f t="shared" si="4"/>
        <v>0.1301277932</v>
      </c>
      <c r="L50" s="80">
        <f>(450*(1-($D$10*0.02))*(1-J26*0.2))-($P$17*0.6*450)</f>
        <v>203.3215782</v>
      </c>
      <c r="M50" s="74">
        <f t="shared" si="7"/>
        <v>40.66431563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1385.647034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1385.647034</v>
      </c>
      <c r="H51" s="80">
        <f>(AVERAGE(F51,G51))*(($N$17+$U$8+IF($F$14,0.05,0))*(1.5+($D$17*0.25)))+(AVERAGE(F51,G51))*((MIN(IF($H$3=63,0.83+$N$18,0.96+$N$18-(($H$3-60)*0.01)),0.99))-($N$17+$U$8+IF($F$14,0.05,0)))*((1-$P$15*0.0025)*$P$13)</f>
        <v>1652.449086</v>
      </c>
      <c r="I51" s="75">
        <f t="shared" ref="I51:I52" si="9">H51/15</f>
        <v>110.1632724</v>
      </c>
      <c r="J51" s="76">
        <f>I51*(IF($J$3="Rockbiter",1+U3,1)+IF(AND($J$3="Rockbiter",$F$11),U3*U4,0))*IF($J$6,0.75,1)*IF($J$7,0.8,1)*IF($F$17,1.02,1)*IF($F$18,0.98,1)*(1+U5)</f>
        <v>80.97000519</v>
      </c>
      <c r="K51" s="18">
        <f t="shared" si="4"/>
        <v>0.06231686164</v>
      </c>
      <c r="L51" s="80">
        <f>(410*(1-($D$10*0.02))*(1-J26*0.2)-($P$17*0.6*450))</f>
        <v>164.9215782</v>
      </c>
      <c r="M51" s="74">
        <f t="shared" si="7"/>
        <v>32.98431563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477.6976289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477.6976289</v>
      </c>
      <c r="H52" s="80">
        <f>(AVERAGE(F52,G52))*MIN(IF($H$3=63,0.83+$N$18,0.96+$N$18-(($H$3-60)*0.01)),0.99)*((1-$P$15*0.0025)*$P$13)*5</f>
        <v>2184.909527</v>
      </c>
      <c r="I52" s="75">
        <f t="shared" si="9"/>
        <v>145.6606351</v>
      </c>
      <c r="J52" s="76">
        <f>I52*(IF($J$3="Rockbiter",1+U3,1)+IF(AND($J$3="Rockbiter",$F$11),U3*U4,0))*IF($J$6,0.75,1)*IF($J$7,0.8,1)*IF($F$17,1.02,1)*IF($F$18,0.98,1)*(1+U5)</f>
        <v>107.0605668</v>
      </c>
      <c r="K52" s="18">
        <f t="shared" si="4"/>
        <v>0.0823969137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382.35296</v>
      </c>
      <c r="G55" s="74">
        <f>(54+(D55*$N$16))*(1+($D$14*0.05))*(1+(IF(J3="Flametongue",($D$12*0.1),0)))*(1+($D$17*0.05))*(1+($D$9*0.01))*IF($H$18,1.1,1)*IF($H$19,1.15,1)*IF($H$20,1+(0.1*H67),1)</f>
        <v>414.0176174</v>
      </c>
      <c r="H55" s="80">
        <f t="shared" ref="H55:H57" si="11">(AVERAGE(F55,G55))*(($N$17+$U$8)*(1.5+($D$17*0.25)))+(AVERAGE(F55,G55))*((MIN(IF($H$3=63,0.83+$N$18,0.96+$N$18-(($H$3-60)*0.01)),0.99))-($N$17+$U$8))*((1-$P$15*0.0025)*$P$13)</f>
        <v>474.8546348</v>
      </c>
      <c r="I55" s="75">
        <f>IF(J4="Searing",H55/C55,0)+IF(J4="Nova+Searing",((H55*(ROUNDDOWN((15-(4-D16))/C55,0)))/15),0)</f>
        <v>189.9418539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0.1074457936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227.833815</v>
      </c>
      <c r="G56" s="74">
        <f>(75+(D56*$N$16))*(1+($D$14*0.05))*(1+(IF(J3="Flametongue",($D$12*0.1),0)))*(1+($D$17*0.05))*(1+($D$9*0.01))*IF($H$18,1.1,1)*IF($H$19,1.15,1)*IF($H$20,1+(0.1*H67),1)</f>
        <v>227.833815</v>
      </c>
      <c r="H56" s="80">
        <f t="shared" si="11"/>
        <v>271.7025115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1184.042714</v>
      </c>
      <c r="G57" s="74">
        <f>(459+(D57*$N$16))*(1+($D$14*0.05))*(1+(IF(J3="Flametongue",($D$12*0.1),0)))*(1+($D$17*0.05))*(1+($D$9*0.01))*IF($H$18,1.1,1)*IF($H$19,1.15,1)*IF($H$20,1+(0.1*H67),1)</f>
        <v>1288.083731</v>
      </c>
      <c r="H57" s="80">
        <f t="shared" si="11"/>
        <v>1474.063374</v>
      </c>
      <c r="I57" s="75">
        <f>IF(J4="Nova",(H57/C57)*H4,0)+IF(J4="Nova+Magma",(H57/C57)*H4,0)+IF(J4="Nova+Searing",(H57/C57)*H4,0)</f>
        <v>98.27089161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0.05558961189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17.91429354</v>
      </c>
      <c r="J59" s="75">
        <f>I59*(IF($J$3="Rockbiter",1+U3,1)+IF(AND($J$3="Rockbiter",$F$11),U3*U4,0))*IF($J$6,0.75,1)*IF($J$7,0.8,1)*IF($F$17,1.02,1)*IF($F$18,0.98,1)*(1+U5)</f>
        <v>13.16700575</v>
      </c>
      <c r="K59" s="18">
        <f t="shared" si="12"/>
        <v>0.01013370907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854.2676389</v>
      </c>
      <c r="D61" s="103">
        <f>$H$50*2/15</f>
        <v>230.0389196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395.2730634</v>
      </c>
      <c r="F61" s="103">
        <f>IF(J4="Magma",I56,0)+IF($J$4="Searing",I55,0)+IF($J$4="Nova",I57,0)+B76+B77</f>
        <v>288.2127455</v>
      </c>
      <c r="G61" s="103">
        <f>SUM(C61,D61,E61,F61)</f>
        <v>1767.792367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1760.892121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1172.030325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854.2676389</v>
      </c>
      <c r="D62" s="103">
        <f>$H$50/5</f>
        <v>345.0583794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139.4491559</v>
      </c>
      <c r="F62" s="103">
        <f>IF(J4="Magma",I56,0)+IF($J$4="Searing",I55,0)+IF($J$4="Nova",I57,0)+B76+B77</f>
        <v>288.2127455</v>
      </c>
      <c r="G62" s="103">
        <f>C62+D62+E62+F62</f>
        <v>1626.98792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1620.087673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1110.808707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1281.4413</v>
      </c>
      <c r="C67" s="103">
        <f>(B67*((((60/C43)+(60/C46)+(60/C49)+IF(J3="Windfury",60/C44,0))*(1-P2))*0.08633)/60)</f>
        <v>59.65605312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361.4922547</v>
      </c>
      <c r="C70" s="103">
        <f>((B70/C43)*K66+(B70/C46)*K66+(B70/C49)*K66+IF(J3="Windfury",(B70/C44)*K66,0))*(1-SUM(P2:P3))</f>
        <v>14.03542449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288.2127455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1103.939509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230.0903808</v>
      </c>
      <c r="E86" s="132">
        <f>(B86*C86/60)*(1-(F86*0.0025))*(0.88)</f>
        <v>118.9732253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121.5348624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627.2022635</v>
      </c>
      <c r="C112" s="88">
        <f>(60/C43)*0.05+(60/C46)*0.05+(60/C49)*0.05+IF(J3="Windfury",(60/C44)*0.05,0)</f>
        <v>1.713733631</v>
      </c>
      <c r="D112" s="88">
        <f>(B112*C112)/60</f>
        <v>17.91429354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1697.464498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58.58342155</v>
      </c>
    </row>
    <row r="117">
      <c r="A117" s="8" t="s">
        <v>282</v>
      </c>
      <c r="B117" s="75">
        <f>(AVERAGE(493,552)+N15*(2.5/3.5))*1.05*1.1*1.1666*1.05*(1+(N17))*(0.83+N18)*P13</f>
        <v>1607.694243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55.48524267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1702.150296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58.74513928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1729.332722</v>
      </c>
      <c r="C119" s="4"/>
      <c r="D119" s="4"/>
      <c r="E119" s="138">
        <f>E118+(B119*D118/60)</f>
        <v>118.4284069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'Main(automatic)'!B16+1</f>
        <v>1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11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984.7042773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1520.848215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0.7132361968</v>
      </c>
      <c r="C26" s="18">
        <f>1-B26</f>
        <v>0.2867638032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0.3099985064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0.2101318427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149.30795</v>
      </c>
      <c r="G45" s="74">
        <f>(29.5*$F$4+(D45*$N$16))*(1+IF(J3="Flametongue",0.1*$D$12,0))*(1+($D$14*0.05))*(1+($D$17*0.05))*IF($H$18,1.1,1)*IF($H$19,1.15,1)*IF($H$20,1+(0.1*H67),1)*IF(F27,1.45,1)</f>
        <v>149.30795</v>
      </c>
      <c r="H45" s="74">
        <f>(AVERAGE(F45,G45))*(($N$17+$U$8)*(1.5+($D$17*0.25)))+(AVERAGE(F45,G45))*((MIN(IF($H$3=63,0.83+$N$18,0.96+$N$18-(($H$3-60)*0.01)),0.99))-($N$17+$U$8))*((1-$P$15*0.0025)*$P$13)*(1-P2-P3)</f>
        <v>115.5346677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0.06673204239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0.0265976418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0.06823038942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0.1263738053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1099.080713</v>
      </c>
      <c r="I50" s="75">
        <f>H50*2/15</f>
        <v>146.5440951</v>
      </c>
      <c r="J50" s="76">
        <f>I50*(IF($J$3="Rockbiter",1+U3,1)+IF(AND($J$3="Rockbiter",$F$11),U3*U4,0))*IF($J$6,0.75,1)*IF($J$7,0.8,1)*IF($F$17,1.02,1)*IF($F$18,0.98,1)*1.5*(1+U5)</f>
        <v>164.862107</v>
      </c>
      <c r="K50" s="18">
        <f t="shared" si="4"/>
        <v>0.09635681832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758.1545935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758.1545935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638.9643998</v>
      </c>
      <c r="I51" s="75">
        <f t="shared" ref="I51:I52" si="9">H51/15</f>
        <v>42.59762665</v>
      </c>
      <c r="J51" s="76">
        <f>I51*(IF($J$3="Rockbiter",1+U3,1)+IF(AND($J$3="Rockbiter",$F$11),U3*U4,0))*IF($J$6,0.75,1)*IF($J$7,0.8,1)*IF($F$17,1.02,1)*IF($F$18,0.98,1)*(1+U5)</f>
        <v>31.94821999</v>
      </c>
      <c r="K51" s="18">
        <f t="shared" si="4"/>
        <v>0.02800912428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166.8912919</v>
      </c>
      <c r="G52" s="79">
        <f>(82+(E52*$N$3)+(D52*$N$16)+IF($F$7,30,0))*(1+D9*0.01)*IF(J3="Flametongue",1+(D12*0.1),1)*(1+($D$14*0.05))*(1+($D$17*0.05))*IF($H$18,1.1,1)*IF($H$19,1.15,1)*IF($H$20,1+(0.1*H67),1)*IF(J26,1.15,1)</f>
        <v>166.8912919</v>
      </c>
      <c r="H52" s="80">
        <f>(AVERAGE(F52,G52))*MIN(IF($H$3=63,0.83+$N$18,0.96+$N$18-(($H$3-60)*0.01)),0.99)*((1-$P$15*0.0025)*$P$13)*5</f>
        <v>545.0984486</v>
      </c>
      <c r="I52" s="75">
        <f t="shared" si="9"/>
        <v>36.33989657</v>
      </c>
      <c r="J52" s="76">
        <f>I52*(IF($J$3="Rockbiter",1+U3,1)+IF(AND($J$3="Rockbiter",$F$11),U3*U4,0))*IF($J$6,0.75,1)*IF($J$7,0.8,1)*IF($F$17,1.02,1)*IF($F$18,0.98,1)*(1+U5)</f>
        <v>27.25492243</v>
      </c>
      <c r="K52" s="18">
        <f t="shared" si="4"/>
        <v>0.02389449271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0.04367533668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61.12699478</v>
      </c>
      <c r="G55" s="74">
        <f>(54+(D55*$N$16))*(1+($D$14*0.05))*(1+(IF(J3="Flametongue",($D$12*0.1),0)))*(1+($D$17*0.05))*(1+($D$9*0.01))*IF($H$18,1.1,1)*IF($H$19,1.15,1)*IF($H$20,1+(0.1*H67),1)</f>
        <v>81.58204478</v>
      </c>
      <c r="H55" s="80">
        <f t="shared" ref="H55:H57" si="11">(AVERAGE(F55,G55))*(($N$17+$U$8)*(1.5+($D$17*0.25)))+(AVERAGE(F55,G55))*((MIN(IF($H$3=63,0.83+$N$18,0.96+$N$18-(($H$3-60)*0.01)),0.99))-($N$17+$U$8))*((1-$P$15*0.0025)*$P$13)</f>
        <v>57.21662517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110.1158168</v>
      </c>
      <c r="G56" s="74">
        <f>(75+(D56*$N$16))*(1+($D$14*0.05))*(1+(IF(J3="Flametongue",($D$12*0.1),0)))*(1+($D$17*0.05))*(1+($D$9*0.01))*IF($H$18,1.1,1)*IF($H$19,1.15,1)*IF($H$20,1+(0.1*H67),1)</f>
        <v>110.1158168</v>
      </c>
      <c r="H56" s="80">
        <f t="shared" si="11"/>
        <v>88.29791628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605.722246</v>
      </c>
      <c r="G57" s="74">
        <f>(459+(D57*$N$16))*(1+($D$14*0.05))*(1+(IF(J3="Flametongue",($D$12*0.1),0)))*(1+($D$17*0.05))*(1+($D$9*0.01))*IF($H$18,1.1,1)*IF($H$19,1.15,1)*IF($H$20,1+(0.1*H67),1)</f>
        <v>672.931696</v>
      </c>
      <c r="H57" s="80">
        <f t="shared" si="11"/>
        <v>512.6533228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1125.174972</v>
      </c>
      <c r="D61" s="103">
        <f>$H$50*2/15</f>
        <v>146.5440951</v>
      </c>
      <c r="E61" s="103">
        <f>IF($H$6,IF($J$2="Lightning",$H$53/$H$7,0),0)+IF(J2="Lightning",I48,0)+(($H$51+$H$52)/15)+IF(F21,C66,0)+IF(F22,C67,0)+IF(F9,IF(H6,C69,0),0)+IF(F23,C68,0)+IF(F24,C70,0)</f>
        <v>249.129147</v>
      </c>
      <c r="F61" s="103">
        <f>IF(J4="Magma",I56,0)+IF($J$4="Searing",I55,0)+IF($J$4="Nova",I57,0)+B76+B77</f>
        <v>0</v>
      </c>
      <c r="G61" s="103">
        <f>SUM(C61,D61,E61,F61)</f>
        <v>1520.848215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1526.65572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984.7042773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1125.174972</v>
      </c>
      <c r="D62" s="103">
        <f>$H$50/5</f>
        <v>219.8161427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1515.182739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1520.990244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1007.932188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'Main(automatic)'!B17+0.01</f>
        <v>0.01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0.09158378378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0.9510460906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985.8717823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1522.006788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0.7126932712</v>
      </c>
      <c r="C26" s="18">
        <f>1-B26</f>
        <v>0.2873067288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0.3097625311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0.2099718874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116.7018189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0.066681245</v>
      </c>
      <c r="L46" s="80">
        <f>IF($J$2="Lightning",(182*(1-J26*0.2)),(182*(1-J26*0.2))-(150+($N$3/10)))-($P$17*0.6*182)</f>
        <v>78.14576691</v>
      </c>
      <c r="M46" s="74">
        <f>L46/C46</f>
        <v>8.68286299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0.02657739529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0.06817845147</v>
      </c>
      <c r="L48" s="80">
        <f>IF($J$2="Lightning",(182*(1-J26*0.2)),(182*(1-J26*0.2))-(150+($N$3/10)))-($P$17*0.6*182)</f>
        <v>78.14576691</v>
      </c>
      <c r="M48" s="74">
        <f t="shared" ref="M48:M51" si="7">L48/C48</f>
        <v>8.68286299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0.1262776077</v>
      </c>
      <c r="L49" s="80">
        <f>(152*(1-J26*0.2))-($P$17*0.6*152)</f>
        <v>65.26459654</v>
      </c>
      <c r="M49" s="74">
        <f t="shared" si="7"/>
        <v>8.158074568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1105.052213</v>
      </c>
      <c r="I50" s="75">
        <f>H50*2/15</f>
        <v>147.3402951</v>
      </c>
      <c r="J50" s="76">
        <f>I50*(IF($J$3="Rockbiter",1+U3,1)+IF(AND($J$3="Rockbiter",$F$11),U3*U4,0))*IF($J$6,0.75,1)*IF($J$7,0.8,1)*IF($F$17,1.02,1)*IF($F$18,0.98,1)*1.5*(1+U5)</f>
        <v>165.757832</v>
      </c>
      <c r="K50" s="18">
        <f t="shared" si="4"/>
        <v>0.09680659528</v>
      </c>
      <c r="L50" s="80">
        <f>(450*(1-($D$10*0.02))*(1-J26*0.2))-($P$17*0.6*450)</f>
        <v>193.2175555</v>
      </c>
      <c r="M50" s="74">
        <f t="shared" si="7"/>
        <v>38.64351111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644.8772136</v>
      </c>
      <c r="I51" s="75">
        <f t="shared" ref="I51:I52" si="9">H51/15</f>
        <v>42.99181424</v>
      </c>
      <c r="J51" s="76">
        <f>I51*(IF($J$3="Rockbiter",1+U3,1)+IF(AND($J$3="Rockbiter",$F$11),U3*U4,0))*IF($J$6,0.75,1)*IF($J$7,0.8,1)*IF($F$17,1.02,1)*IF($F$18,0.98,1)*(1+U5)</f>
        <v>32.24386068</v>
      </c>
      <c r="K51" s="18">
        <f t="shared" si="4"/>
        <v>0.02824679534</v>
      </c>
      <c r="L51" s="80">
        <f>(410*(1-($D$10*0.02))*(1-J26*0.2)-($P$17*0.6*450))</f>
        <v>153.2175555</v>
      </c>
      <c r="M51" s="74">
        <f t="shared" si="7"/>
        <v>30.64351111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544.6212339</v>
      </c>
      <c r="I52" s="75">
        <f t="shared" si="9"/>
        <v>36.30808226</v>
      </c>
      <c r="J52" s="76">
        <f>I52*(IF($J$3="Rockbiter",1+U3,1)+IF(AND($J$3="Rockbiter",$F$11),U3*U4,0))*IF($J$6,0.75,1)*IF($J$7,0.8,1)*IF($F$17,1.02,1)*IF($F$18,0.98,1)*(1+U5)</f>
        <v>27.2310617</v>
      </c>
      <c r="K52" s="18">
        <f t="shared" si="4"/>
        <v>0.02385540101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0.04364209039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57.60301032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89.15980228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517.7169675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1125.174972</v>
      </c>
      <c r="D61" s="103">
        <f>$H$50*2/15</f>
        <v>147.3402951</v>
      </c>
      <c r="E61" s="103">
        <f>IF($H$6,IF($J$2="Lightning",$H$53/$H$7,0),0)+IF(J2="Lightning",I48,0)+(($H$51+$H$52)/15)+IF(F21,C66,0)+IF(F22,C67,0)+IF(F9,IF(H6,C69,0),0)+IF(F23,C68,0)+IF(F24,C70,0)</f>
        <v>249.4915202</v>
      </c>
      <c r="F61" s="103">
        <f>IF(J4="Magma",I56,0)+IF($J$4="Searing",I55,0)+IF($J$4="Nova",I57,0)+B76+B77</f>
        <v>0</v>
      </c>
      <c r="G61" s="103">
        <f>SUM(C61,D61,E61,F61)</f>
        <v>1522.006788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1527.814293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985.8717823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1125.174972</v>
      </c>
      <c r="D62" s="103">
        <f>$H$50/5</f>
        <v>221.0104427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1516.377039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1522.184544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1009.275776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445.8679059</v>
      </c>
      <c r="C66" s="112">
        <f>(B66*((((60/C43)+(60/C46)+(60/C49)+IF(J3="Windfury",60/C44,0))*1-$P$2)*0.185))/60</f>
        <v>69.53879205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166.1545367</v>
      </c>
      <c r="C67" s="103">
        <f>(B67*((((60/C43)+(60/C46)+(60/C49)+IF(J3="Windfury",60/C44,0))*(1-P2))*0.08633)/60)</f>
        <v>11.4637825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31.56156364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191.8522814</v>
      </c>
      <c r="C70" s="103">
        <f>((B70/C43)*K66+(B70/C46)*K66+(B70/C49)*K66+IF(J3="Windfury",(B70/C44)*K66,0))*(1-SUM(P2:P3))</f>
        <v>11.03960304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14160.98659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'Main(manual)'!B17+0.01</f>
        <v>0.08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0.1920567568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0.8512049888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47.21672189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1176.712618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0.4906089103</v>
      </c>
      <c r="V22" s="42"/>
      <c r="W22" s="42"/>
    </row>
    <row r="23">
      <c r="A23" s="40" t="s">
        <v>163</v>
      </c>
      <c r="B23" s="43">
        <f>$G$61</f>
        <v>1775.494548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0.8018823237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0.306552962</v>
      </c>
      <c r="C26" s="18">
        <f>1-B26</f>
        <v>0.693447038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I43*(IF($J$3="Rockbiter",1+U3,1)+IF(AND($J$3="Rockbiter",$F$11),U3*U4,0))*IF($J$6,0.75,1)*IF($J$7,0.8,1)*IF($F$17,1.02,1)*IF($F$18,0.98,1)*(1-U7)*(1+U5)</f>
        <v>228.9486181</v>
      </c>
      <c r="K43" s="18">
        <f t="shared" ref="K43:K52" si="4">I43/$B$23</f>
        <v>0.1754411011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395.0026797</v>
      </c>
      <c r="G45" s="74">
        <f>(29.5*$F$4+(D45*$N$16))*(1+IF(J3="Flametongue",0.1*$D$12,0))*(1+($D$14*0.05))*(1+($D$17*0.05))*IF($H$18,1.1,1)*IF($H$19,1.15,1)*IF($H$20,1+(0.1*H67),1)*IF(F27,1.45,1)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460.6683351</v>
      </c>
      <c r="I45" s="75">
        <f>IF($J$3="Flametongue",(H45/C45)+(H45/C46)+(H45/C49)+IF(F23,((H45/C45)+(H45/C46)+(H45/C49))*K67,0))</f>
        <v>263.1542729</v>
      </c>
      <c r="J45" s="76">
        <f>I45*(IF($J$3="Rockbiter",1+U3,1)+IF(AND($J$3="Rockbiter",$F$11),U3*U4,0))*IF($J$6,0.7,1)*IF($J$7,0.8,1)*IF($F$17,1.02,1)*IF($F$18,0.98,1)*(1-U7)*(1+U5)</f>
        <v>180.5238312</v>
      </c>
      <c r="K45" s="18">
        <f t="shared" si="4"/>
        <v>0.148214633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0.05274998638</v>
      </c>
      <c r="L46" s="80">
        <f>IF($J$2="Lightning",(182*(1-J26*0.2)),(182*(1-J26*0.2))-(150+($N$3/10)))-($P$17*0.6*182)</f>
        <v>89.04841523</v>
      </c>
      <c r="M46" s="74">
        <f>L46/C46</f>
        <v>9.894268359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252.1397741</v>
      </c>
      <c r="G47" s="79">
        <f>(($F$3+($N$3/E43))*(0.2)+($D$47*$N$15))*(1+U8)*IF($H$20,1+(0.1*H67),1)*(1+(D17*0.05))*IF(J23,1+U9,1)</f>
        <v>292.1188596</v>
      </c>
      <c r="H47" s="79">
        <f>(AVERAGE(F47,G47)*($P$10+$U$8)*(1.5+($D$17*0.25))+(AVERAGE(F47,G47)*(1-$P$2-$P$3-$P$4-($P$10+U8)))+((AVERAGE(F47,G47)-$P$6)*$P$4))*IF(J23,1+U9,1)</f>
        <v>442.7884146</v>
      </c>
      <c r="I47" s="75">
        <f t="shared" si="6"/>
        <v>49.19871274</v>
      </c>
      <c r="J47" s="76">
        <f>I47*(IF($J$3="Rockbiter",1+U3,1)+IF(AND($J$3="Rockbiter",$F$11),U3*U4,0))*IF($J$6,0.75,1)*IF($J$7,0.8,1)*IF($F$17,1.02,1)*IF($F$18,0.98,1)*(1-U7)*(1+U5)</f>
        <v>36.16105386</v>
      </c>
      <c r="K47" s="18">
        <f t="shared" si="4"/>
        <v>0.02770986416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1305.784595</v>
      </c>
      <c r="G48" s="74">
        <f>IF($J$2="Lightning",(198+(D48*N15)+(E48*$N$3))*IF($J$23,1+U9,1)*IF($F$12,1.15,1)*(1+(D17*0.05))*(1+(D9*0.01))*IF($H$20,1+(0.1*H67),1)*IF(J26,1.15,1),0)</f>
        <v>1305.784595</v>
      </c>
      <c r="H48" s="79">
        <f>G48*((1-$P$14*0.0025)*$P$13)*(1-P2-P3)</f>
        <v>1158.701018</v>
      </c>
      <c r="I48" s="75">
        <f>IF(F15,((H48/C48)+(H48/C43)*0.15+(H48/C46)*0.15+(H48/C49)*0.15+IF(J3="Windfury",H48/C44,0)*0.15)*(1-P2),(H48/C48)*(1-P2))</f>
        <v>121.5348624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89.32812383</v>
      </c>
      <c r="K48" s="18">
        <f t="shared" si="4"/>
        <v>0.06845127319</v>
      </c>
      <c r="L48" s="80">
        <f>IF($J$2="Lightning",(182*(1-J26*0.2)),(182*(1-J26*0.2))-(150+($N$3/10)))-($P$17*0.6*182)</f>
        <v>89.04841523</v>
      </c>
      <c r="M48" s="74">
        <f t="shared" ref="M48:M51" si="7">L48/C48</f>
        <v>9.894268359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0.0783618746</v>
      </c>
      <c r="L49" s="80">
        <f>(152*(1-J26*0.2))-($P$17*0.6*152)</f>
        <v>74.37010503</v>
      </c>
      <c r="M49" s="74">
        <f t="shared" si="7"/>
        <v>9.296263128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1425.799528</v>
      </c>
      <c r="G50" s="80">
        <f>(520+(E50*$N$3)+(D50*$N$15)+IF(F7,30,0))*(1+(D17*0.05))*(1+(D9*0.01))*IF($J$23,1+U9,1)*IF(F14,1.1,1)*IF(J26,1.15,1)*IF($H$20,1+(0.1*H67),1)</f>
        <v>1467.657972</v>
      </c>
      <c r="H50" s="80">
        <f>(AVERAGE(F50,G50))*(($N$17+$U$8+IF($F$14,0.05,0))*(1.5+($D$17*0.25)))+(AVERAGE(F50,G50))*((MIN(IF($H$3=63,0.83+$N$18,0.96+$N$18-(($H$3-60)*0.01)),0.99))-($N$17+$U$8+IF($F$14,0.05,0)))*((1-$P$14*0.0025)*$P$13)</f>
        <v>1740.627222</v>
      </c>
      <c r="I50" s="75">
        <f>H50*2/15</f>
        <v>232.0836295</v>
      </c>
      <c r="J50" s="76">
        <f>I50*(IF($J$3="Rockbiter",1+U3,1)+IF(AND($J$3="Rockbiter",$F$11),U3*U4,0))*IF($J$6,0.75,1)*IF($J$7,0.8,1)*IF($F$17,1.02,1)*IF($F$18,0.98,1)*1.5*(1+U5)</f>
        <v>255.8722016</v>
      </c>
      <c r="K50" s="18">
        <f t="shared" si="4"/>
        <v>0.130714921</v>
      </c>
      <c r="L50" s="80">
        <f>(450*(1-($D$10*0.02))*(1-J26*0.2))-($P$17*0.6*450)</f>
        <v>202.174653</v>
      </c>
      <c r="M50" s="74">
        <f t="shared" si="7"/>
        <v>40.43493061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1385.163017</v>
      </c>
      <c r="H51" s="80">
        <f>(AVERAGE(F51,G51))*(($N$17+$U$8+IF($F$14,0.05,0))*(1.5+($D$17*0.25)))+(AVERAGE(F51,G51))*((MIN(IF($H$3=63,0.83+$N$18,0.96+$N$18-(($H$3-60)*0.01)),0.99))-($N$17+$U$8+IF($F$14,0.05,0)))*((1-$P$15*0.0025)*$P$13)</f>
        <v>1666.554601</v>
      </c>
      <c r="I51" s="75">
        <f t="shared" ref="I51:I52" si="9">H51/15</f>
        <v>111.10364</v>
      </c>
      <c r="J51" s="76">
        <f>I51*(IF($J$3="Rockbiter",1+U3,1)+IF(AND($J$3="Rockbiter",$F$11),U3*U4,0))*IF($J$6,0.75,1)*IF($J$7,0.8,1)*IF($F$17,1.02,1)*IF($F$18,0.98,1)*(1+U5)</f>
        <v>81.66117543</v>
      </c>
      <c r="K51" s="18">
        <f t="shared" si="4"/>
        <v>0.06257616514</v>
      </c>
      <c r="L51" s="80">
        <f>(410*(1-($D$10*0.02))*(1-J26*0.2)-($P$17*0.6*450))</f>
        <v>163.774653</v>
      </c>
      <c r="M51" s="74">
        <f t="shared" si="7"/>
        <v>32.75493061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H52" s="80">
        <f>(AVERAGE(F52,G52))*MIN(IF($H$3=63,0.83+$N$18,0.96+$N$18-(($H$3-60)*0.01)),0.99)*((1-$P$15*0.0025)*$P$13)*5</f>
        <v>2183.875035</v>
      </c>
      <c r="I52" s="75">
        <f t="shared" si="9"/>
        <v>145.591669</v>
      </c>
      <c r="J52" s="76">
        <f>I52*(IF($J$3="Rockbiter",1+U3,1)+IF(AND($J$3="Rockbiter",$F$11),U3*U4,0))*IF($J$6,0.75,1)*IF($J$7,0.8,1)*IF($F$17,1.02,1)*IF($F$18,0.98,1)*(1+U5)</f>
        <v>107.0098767</v>
      </c>
      <c r="K52" s="18">
        <f t="shared" si="4"/>
        <v>0.08200062859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1">(AVERAGE(F55,G55))*(($N$17+$U$8)*(1.5+($D$17*0.25)))+(AVERAGE(F55,G55))*((MIN(IF($H$3=63,0.83+$N$18,0.96+$N$18-(($H$3-60)*0.01)),0.99))-($N$17+$U$8))*((1-$P$15*0.0025)*$P$13)</f>
        <v>478.6209532</v>
      </c>
      <c r="I55" s="75">
        <f>IF(J4="Searing",H55/C55,0)+IF(J4="Nova+Searing",((H55*(ROUNDDOWN((15-(4-D16))/C55,0)))/15),0)</f>
        <v>191.4483813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0.1078282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1"/>
        <v>274.0269329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1"/>
        <v>1486.776508</v>
      </c>
      <c r="I57" s="75">
        <f>IF(J4="Nova",(H57/C57)*H4,0)+IF(J4="Nova+Magma",(H57/C57)*H4,0)+IF(J4="Nova+Searing",(H57/C57)*H4,0)</f>
        <v>99.11843388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0.05582581709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17.9778336</v>
      </c>
      <c r="J59" s="75">
        <f>I59*(IF($J$3="Rockbiter",1+U3,1)+IF(AND($J$3="Rockbiter",$F$11),U3*U4,0))*IF($J$6,0.75,1)*IF($J$7,0.8,1)*IF($F$17,1.02,1)*IF($F$18,0.98,1)*(1+U5)</f>
        <v>13.21370769</v>
      </c>
      <c r="K59" s="18">
        <f t="shared" si="12"/>
        <v>0.01012553579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856.6360984</v>
      </c>
      <c r="D61" s="103">
        <f>$H$50*2/15</f>
        <v>232.0836295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396.208005</v>
      </c>
      <c r="F61" s="103">
        <f>IF(J4="Magma",I56,0)+IF($J$4="Searing",I55,0)+IF($J$4="Nova",I57,0)+B76+B77</f>
        <v>290.5668152</v>
      </c>
      <c r="G61" s="103">
        <f>SUM(C61,D61,E61,F61)</f>
        <v>1775.494548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1768.565313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1176.712618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856.6360984</v>
      </c>
      <c r="D62" s="103">
        <f>$H$50/5</f>
        <v>348.1254443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139.512696</v>
      </c>
      <c r="F62" s="103">
        <f>IF(J4="Magma",I56,0)+IF($J$4="Searing",I55,0)+IF($J$4="Nova",I57,0)+B76+B77</f>
        <v>290.5668152</v>
      </c>
      <c r="G62" s="103">
        <f>C62+D62+E62+F62</f>
        <v>1634.841054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1627.911818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1115.977666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746.3755182</v>
      </c>
      <c r="C66" s="112">
        <f>(B66*((((60/C43)+(60/C46)+(60/C49)+IF(J3="Windfury",60/C44,0))*1-$P$2)*0.185))/60</f>
        <v>78.74827015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1286.617339</v>
      </c>
      <c r="C67" s="103">
        <f>(B67*((((60/C43)+(60/C46)+(60/C49)+IF(J3="Windfury",60/C44,0))*(1-P2))*0.08633)/60)</f>
        <v>59.89701782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36.94067567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363.148913</v>
      </c>
      <c r="C70" s="103">
        <f>((B70/C43)*K66+(B70/C46)*K66+(B70/C49)*K66+IF(J3="Windfury",(B70/C44)*K66,0))*(1-SUM(P2:P3))</f>
        <v>14.09974649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31.48674916</v>
      </c>
      <c r="B72" s="8">
        <v>0.0</v>
      </c>
      <c r="C72" s="88">
        <f>(60/C46)*(1-P2)</f>
        <v>6.293333333</v>
      </c>
      <c r="D72" s="88">
        <f>(60/5)*(0.83+$N$18)</f>
        <v>11.67787335</v>
      </c>
      <c r="E72" s="88">
        <f>IF($F$23,$A$72*0.08,0)</f>
        <v>0</v>
      </c>
      <c r="F72" s="88">
        <f>$A$72*($F$26*1)</f>
        <v>31.48674916</v>
      </c>
      <c r="G72" s="88">
        <f>SUM(A72:E72)</f>
        <v>49.45795584</v>
      </c>
      <c r="H72" s="88">
        <f>SUM(A72:F72)</f>
        <v>80.944705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290.5668152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1103.125427</v>
      </c>
      <c r="C86" s="130">
        <f>IF(AND(J3="Flametongue",F26=0),A72*0.2,0)+IF(AND(J3="Flametongue",F26=1),A72*0.36,0)+IF(AND(J3="Flametongue",F26=2),A72*0.488,0)+IF(AND(J3="Flametongue",F26=3),A72*0.5904,0)+D72*0.2</f>
        <v>13.67080437</v>
      </c>
      <c r="D86" s="132">
        <f>(B86*C86/60)*(0.83+N18)*P13*((1-$P$15*0.0025))</f>
        <v>229.9207045</v>
      </c>
      <c r="E86" s="132">
        <f>(B86*C86/60)*(1-(F86*0.0025))*(0.88)</f>
        <v>118.8854905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121.5348624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629.4268819</v>
      </c>
      <c r="C112" s="88">
        <f>(60/C43)*0.05+(60/C46)*0.05+(60/C49)*0.05+IF(J3="Windfury",(60/C44)*0.05,0)</f>
        <v>1.713733631</v>
      </c>
      <c r="D112" s="88">
        <f>(B112*C112)/60</f>
        <v>17.9778336</v>
      </c>
      <c r="E112" s="88">
        <f>0.33*IF(J3="Flametongue",1.3,1)*(1+(0.05*D12))*(1+(N17/2))*(0.83+N18)*P13*(1-SUM(P2:P3))*IF(H18,1.1,1)*IF(H19,1.15,1)*IF(H20,1.1,1)</f>
        <v>0.6497443399</v>
      </c>
      <c r="F112" s="88">
        <f>(E112*C112)/60</f>
        <v>0.01855814545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1711.82476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59.07902738</v>
      </c>
    </row>
    <row r="117">
      <c r="A117" s="8" t="s">
        <v>282</v>
      </c>
      <c r="B117" s="75">
        <f>(AVERAGE(493,552)+N15*(2.5/3.5))*1.05*1.1*1.1666*1.05*(1+(N17))*(0.83+N18)*P13</f>
        <v>1621.295064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55.95463843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1743.136867</v>
      </c>
      <c r="C119" s="4"/>
      <c r="D119" s="4"/>
      <c r="E119" s="138">
        <f>E118+(B119*D118/60)</f>
        <v>118.8602149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'Main(manual)'!B7</f>
        <v>0.03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14162.67291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739.8407731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771.8407731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0.847213735</v>
      </c>
    </row>
    <row r="18">
      <c r="A18" s="8" t="s">
        <v>134</v>
      </c>
      <c r="B18" s="25">
        <f>'Main(manual)'!B18+0.01</f>
        <v>0.04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0.1450276554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47.24530353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1172.860707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0.4912179778</v>
      </c>
      <c r="V22" s="42"/>
      <c r="W22" s="42"/>
    </row>
    <row r="23">
      <c r="A23" s="40" t="s">
        <v>163</v>
      </c>
      <c r="B23" s="43">
        <f>$G$61</f>
        <v>1768.984324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0.8024503716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0.3076811396</v>
      </c>
      <c r="C26" s="18">
        <f>1-B26</f>
        <v>0.6923188604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I43*(IF($J$3="Rockbiter",1+U3,1)+IF(AND($J$3="Rockbiter",$F$11),U3*U4,0))*IF($J$6,0.75,1)*IF($J$7,0.8,1)*IF($F$17,1.02,1)*IF($F$18,0.98,1)*(1-U7)*(1+U5)</f>
        <v>228.9486181</v>
      </c>
      <c r="K43" s="18">
        <f t="shared" ref="K43:K52" si="4">I43/$B$23</f>
        <v>0.1760867602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395.0199977</v>
      </c>
      <c r="G45" s="74">
        <f>(29.5*$F$4+(D45*$N$16))*(1+IF(J3="Flametongue",0.1*$D$12,0))*(1+($D$14*0.05))*(1+($D$17*0.05))*IF($H$18,1.1,1)*IF($H$19,1.15,1)*IF($H$20,1+(0.1*H67),1)*IF(F27,1.45,1)</f>
        <v>395.0199977</v>
      </c>
      <c r="H45" s="74">
        <f>(AVERAGE(F45,G45))*(($N$17+$U$8)*(1.5+($D$17*0.25)))+(AVERAGE(F45,G45))*((MIN(IF($H$3=63,0.83+$N$18,0.96+$N$18-(($H$3-60)*0.01)),0.99))-($N$17+$U$8))*((1-$P$15*0.0025)*$P$13)*(1-P2-P3)</f>
        <v>456.949404</v>
      </c>
      <c r="I45" s="75">
        <f>IF($J$3="Flametongue",(H45/C45)+(H45/C46)+(H45/C49)+IF(F23,((H45/C45)+(H45/C46)+(H45/C49))*K67,0))</f>
        <v>261.0298538</v>
      </c>
      <c r="J45" s="76">
        <f>I45*(IF($J$3="Rockbiter",1+U3,1)+IF(AND($J$3="Rockbiter",$F$11),U3*U4,0))*IF($J$6,0.7,1)*IF($J$7,0.8,1)*IF($F$17,1.02,1)*IF($F$18,0.98,1)*(1-U7)*(1+U5)</f>
        <v>179.0664797</v>
      </c>
      <c r="K45" s="18">
        <f t="shared" si="4"/>
        <v>0.1475591673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0.05294411712</v>
      </c>
      <c r="L46" s="80">
        <f>IF($J$2="Lightning",(182*(1-J26*0.2)),(182*(1-J26*0.2))-(150+($N$3/10)))-($P$17*0.6*182)</f>
        <v>89.48426014</v>
      </c>
      <c r="M46" s="74">
        <f>L46/C46</f>
        <v>9.942695571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252.1459552</v>
      </c>
      <c r="G47" s="79">
        <f>(($F$3+($N$3/E43))*(0.2)+($D$47*$N$15))*(1+U8)*IF($H$20,1+(0.1*H67),1)*(1+(D17*0.05))*IF(J23,1+U9,1)</f>
        <v>292.1250407</v>
      </c>
      <c r="H47" s="79">
        <f>(AVERAGE(F47,G47)*($P$10+$U$8)*(1.5+($D$17*0.25))+(AVERAGE(F47,G47)*(1-$P$2-$P$3-$P$4-($P$10+U8)))+((AVERAGE(F47,G47)-$P$6)*$P$4))*IF(J23,1+U9,1)</f>
        <v>442.7984721</v>
      </c>
      <c r="I47" s="75">
        <f t="shared" si="6"/>
        <v>49.19983024</v>
      </c>
      <c r="J47" s="76">
        <f>I47*(IF($J$3="Rockbiter",1+U3,1)+IF(AND($J$3="Rockbiter",$F$11),U3*U4,0))*IF($J$6,0.75,1)*IF($J$7,0.8,1)*IF($F$17,1.02,1)*IF($F$18,0.98,1)*(1-U7)*(1+U5)</f>
        <v>36.16187522</v>
      </c>
      <c r="K47" s="18">
        <f t="shared" si="4"/>
        <v>0.02781247384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1305.821223</v>
      </c>
      <c r="G48" s="74">
        <f>IF($J$2="Lightning",(198+(D48*N15)+(E48*$N$3))*IF($J$23,1+U9,1)*IF($F$12,1.15,1)*(1+(D17*0.05))*(1+(D9*0.01))*IF($H$20,1+(0.1*H67),1)*IF(J26,1.15,1),0)</f>
        <v>1305.821223</v>
      </c>
      <c r="H48" s="79">
        <f>G48*((1-$P$14*0.0025)*$P$13)*(1-P2-P3)</f>
        <v>1158.73352</v>
      </c>
      <c r="I48" s="75">
        <f>IF(F15,((H48/C48)+(H48/C43)*0.15+(H48/C46)*0.15+(H48/C49)*0.15+IF(J3="Windfury",H48/C44,0)*0.15)*(1-P2),(H48/C48)*(1-P2))</f>
        <v>121.5382714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89.33062951</v>
      </c>
      <c r="K48" s="18">
        <f t="shared" si="4"/>
        <v>0.06870511501</v>
      </c>
      <c r="L48" s="80">
        <f>IF($J$2="Lightning",(182*(1-J26*0.2)),(182*(1-J26*0.2))-(150+($N$3/10)))-($P$17*0.6*182)</f>
        <v>89.48426014</v>
      </c>
      <c r="M48" s="74">
        <f t="shared" ref="M48:M51" si="7">L48/C48</f>
        <v>9.942695571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0.07865026232</v>
      </c>
      <c r="L49" s="80">
        <f>(152*(1-J26*0.2))-($P$17*0.6*152)</f>
        <v>74.73410737</v>
      </c>
      <c r="M49" s="74">
        <f t="shared" si="7"/>
        <v>9.341763421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1425.845921</v>
      </c>
      <c r="G50" s="80">
        <f>(520+(E50*$N$3)+(D50*$N$15)+IF(F7,30,0))*(1+(D17*0.05))*(1+(D9*0.01))*IF($J$23,1+U9,1)*IF(F14,1.1,1)*IF(J26,1.15,1)*IF($H$20,1+(0.1*H67),1)</f>
        <v>1467.704365</v>
      </c>
      <c r="H50" s="80">
        <f>(AVERAGE(F50,G50))*(($N$17+$U$8+IF($F$14,0.05,0))*(1.5+($D$17*0.25)))+(AVERAGE(F50,G50))*((MIN(IF($H$3=63,0.83+$N$18,0.96+$N$18-(($H$3-60)*0.01)),0.99))-($N$17+$U$8+IF($F$14,0.05,0)))*((1-$P$14*0.0025)*$P$13)</f>
        <v>1727.892462</v>
      </c>
      <c r="I50" s="75">
        <f>H50*2/15</f>
        <v>230.3856617</v>
      </c>
      <c r="J50" s="76">
        <f>I50*(IF($J$3="Rockbiter",1+U3,1)+IF(AND($J$3="Rockbiter",$F$11),U3*U4,0))*IF($J$6,0.75,1)*IF($J$7,0.8,1)*IF($F$17,1.02,1)*IF($F$18,0.98,1)*1.5*(1+U5)</f>
        <v>254.000192</v>
      </c>
      <c r="K50" s="18">
        <f t="shared" si="4"/>
        <v>0.1302361239</v>
      </c>
      <c r="L50" s="80">
        <f>(450*(1-($D$10*0.02))*(1-J26*0.2))-($P$17*0.6*450)</f>
        <v>203.2522916</v>
      </c>
      <c r="M50" s="74">
        <f t="shared" si="7"/>
        <v>40.65045831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1385.201931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1385.201931</v>
      </c>
      <c r="H51" s="80">
        <f>(AVERAGE(F51,G51))*(($N$17+$U$8+IF($F$14,0.05,0))*(1.5+($D$17*0.25)))+(AVERAGE(F51,G51))*((MIN(IF($H$3=63,0.83+$N$18,0.96+$N$18-(($H$3-60)*0.01)),0.99))-($N$17+$U$8+IF($F$14,0.05,0)))*((1-$P$15*0.0025)*$P$13)</f>
        <v>1654.355196</v>
      </c>
      <c r="I51" s="75">
        <f t="shared" ref="I51:I52" si="9">H51/15</f>
        <v>110.2903464</v>
      </c>
      <c r="J51" s="76">
        <f>I51*(IF($J$3="Rockbiter",1+U3,1)+IF(AND($J$3="Rockbiter",$F$11),U3*U4,0))*IF($J$6,0.75,1)*IF($J$7,0.8,1)*IF($F$17,1.02,1)*IF($F$18,0.98,1)*(1+U5)</f>
        <v>81.0634046</v>
      </c>
      <c r="K51" s="18">
        <f t="shared" si="4"/>
        <v>0.06234670647</v>
      </c>
      <c r="L51" s="80">
        <f>(410*(1-($D$10*0.02))*(1-J26*0.2)-($P$17*0.6*450))</f>
        <v>164.8522916</v>
      </c>
      <c r="M51" s="74">
        <f t="shared" si="7"/>
        <v>32.97045831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477.4896367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477.4896367</v>
      </c>
      <c r="H52" s="80">
        <f>(AVERAGE(F52,G52))*MIN(IF($H$3=63,0.83+$N$18,0.96+$N$18-(($H$3-60)*0.01)),0.99)*((1-$P$15*0.0025)*$P$13)*5</f>
        <v>2188.158324</v>
      </c>
      <c r="I52" s="75">
        <f t="shared" si="9"/>
        <v>145.8772216</v>
      </c>
      <c r="J52" s="76">
        <f>I52*(IF($J$3="Rockbiter",1+U3,1)+IF(AND($J$3="Rockbiter",$F$11),U3*U4,0))*IF($J$6,0.75,1)*IF($J$7,0.8,1)*IF($F$17,1.02,1)*IF($F$18,0.98,1)*(1+U5)</f>
        <v>107.2197579</v>
      </c>
      <c r="K52" s="18">
        <f t="shared" si="4"/>
        <v>0.08246382946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591.3065651</v>
      </c>
      <c r="G53" s="74">
        <f>(198+($N$15*$D$53))*(1+(D17*0.05))*(1+(D9*0.01))*IF(J26,1.15,1)*IF($H$20,1+(0.1*H67),1)*IF(J23,1+U9,1)</f>
        <v>591.3065651</v>
      </c>
      <c r="H53" s="74">
        <f>F53*((1-$P$14*0.0025)*$P$13)</f>
        <v>555.8281712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382.005613</v>
      </c>
      <c r="G55" s="74">
        <f>(54+(D55*$N$16))*(1+($D$14*0.05))*(1+(IF(J3="Flametongue",($D$12*0.1),0)))*(1+($D$17*0.05))*(1+($D$9*0.01))*IF($H$18,1.1,1)*IF($H$19,1.15,1)*IF($H$20,1+(0.1*H67),1)</f>
        <v>413.6702703</v>
      </c>
      <c r="H55" s="80">
        <f t="shared" ref="H55:H57" si="11">(AVERAGE(F55,G55))*(($N$17+$U$8)*(1.5+($D$17*0.25)))+(AVERAGE(F55,G55))*((MIN(IF($H$3=63,0.83+$N$18,0.96+$N$18-(($H$3-60)*0.01)),0.99))-($N$17+$U$8))*((1-$P$15*0.0025)*$P$13)</f>
        <v>475.1403037</v>
      </c>
      <c r="I55" s="75">
        <f>IF(J4="Searing",H55/C55,0)+IF(J4="Nova+Searing",((H55*(ROUNDDOWN((15-(4-D16))/C55,0)))/15),0)</f>
        <v>190.0561215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0.1074379908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227.7645535</v>
      </c>
      <c r="G56" s="74">
        <f>(75+(D56*$N$16))*(1+($D$14*0.05))*(1+(IF(J3="Flametongue",($D$12*0.1),0)))*(1+($D$17*0.05))*(1+($D$9*0.01))*IF($H$18,1.1,1)*IF($H$19,1.15,1)*IF($H$20,1+(0.1*H67),1)</f>
        <v>227.7645535</v>
      </c>
      <c r="H56" s="80">
        <f t="shared" si="11"/>
        <v>272.0206089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1183.745285</v>
      </c>
      <c r="G57" s="74">
        <f>(459+(D57*$N$16))*(1+($D$14*0.05))*(1+(IF(J3="Flametongue",($D$12*0.1),0)))*(1+($D$17*0.05))*(1+($D$9*0.01))*IF($H$18,1.1,1)*IF($H$19,1.15,1)*IF($H$20,1+(0.1*H67),1)</f>
        <v>1287.786302</v>
      </c>
      <c r="H57" s="80">
        <f t="shared" si="11"/>
        <v>1475.882698</v>
      </c>
      <c r="I57" s="75">
        <f>IF(J4="Nova",(H57/C57)*H4,0)+IF(J4="Nova+Magma",(H57/C57)*H4,0)+IF(J4="Nova+Searing",(H57/C57)*H4,0)</f>
        <v>98.39217985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0.05562071891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17.9317248</v>
      </c>
      <c r="J59" s="75">
        <f>I59*(IF($J$3="Rockbiter",1+U3,1)+IF(AND($J$3="Rockbiter",$F$11),U3*U4,0))*IF($J$6,0.75,1)*IF($J$7,0.8,1)*IF($F$17,1.02,1)*IF($F$18,0.98,1)*(1+U5)</f>
        <v>13.17981773</v>
      </c>
      <c r="K59" s="18">
        <f t="shared" si="12"/>
        <v>0.01013673471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854.5127968</v>
      </c>
      <c r="D61" s="103">
        <f>$H$50*2/15</f>
        <v>230.3856617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395.6375643</v>
      </c>
      <c r="F61" s="103">
        <f>IF(J4="Magma",I56,0)+IF($J$4="Searing",I55,0)+IF($J$4="Nova",I57,0)+B76+B77</f>
        <v>288.4483013</v>
      </c>
      <c r="G61" s="103">
        <f>SUM(C61,D61,E61,F61)</f>
        <v>1768.984324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1762.070408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1172.860707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854.5127968</v>
      </c>
      <c r="D62" s="103">
        <f>$H$50/5</f>
        <v>345.5784925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139.4699962</v>
      </c>
      <c r="F62" s="103">
        <f>IF(J4="Magma",I56,0)+IF($J$4="Searing",I55,0)+IF($J$4="Nova",I57,0)+B76+B77</f>
        <v>288.4483013</v>
      </c>
      <c r="G62" s="103">
        <f>C62+D62+E62+F62</f>
        <v>1628.009587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1621.095671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1111.577641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744.4143013</v>
      </c>
      <c r="C66" s="112">
        <f>(B66*((((60/C43)+(60/C46)+(60/C49)+IF(J3="Windfury",60/C44,0))*1-$P$2)*0.185))/60</f>
        <v>78.54134691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1283.768821</v>
      </c>
      <c r="C67" s="103">
        <f>(B67*((((60/C43)+(60/C46)+(60/C49)+IF(J3="Windfury",60/C44,0))*(1-P2))*0.08633)/60)</f>
        <v>59.76440827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36.8428741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362.206438</v>
      </c>
      <c r="C70" s="103">
        <f>((B70/C43)*K66+(B70/C46)*K66+(B70/C49)*K66+IF(J3="Windfury",(B70/C44)*K66,0))*(1-SUM(P2:P3))</f>
        <v>14.06315362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31.54730348</v>
      </c>
      <c r="B72" s="8">
        <v>0.0</v>
      </c>
      <c r="C72" s="88">
        <f>(60/C46)*(1-P2)</f>
        <v>6.293333333</v>
      </c>
      <c r="D72" s="88">
        <f>(60/5)*(0.83+$N$18)</f>
        <v>11.70033186</v>
      </c>
      <c r="E72" s="88">
        <f>IF($F$23,$A$72*0.08,0)</f>
        <v>0</v>
      </c>
      <c r="F72" s="88">
        <f>$A$72*($F$26*1)</f>
        <v>31.54730348</v>
      </c>
      <c r="G72" s="88">
        <f>SUM(A72:E72)</f>
        <v>49.54096868</v>
      </c>
      <c r="H72" s="88">
        <f>SUM(A72:F72)</f>
        <v>81.08827216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288.4483013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1103.190877</v>
      </c>
      <c r="C86" s="130">
        <f>IF(AND(J3="Flametongue",F26=0),A72*0.2,0)+IF(AND(J3="Flametongue",F26=1),A72*0.36,0)+IF(AND(J3="Flametongue",F26=2),A72*0.488,0)+IF(AND(J3="Flametongue",F26=3),A72*0.5904,0)+D72*0.2</f>
        <v>13.69709563</v>
      </c>
      <c r="D86" s="132">
        <f>(B86*C86/60)*(0.83+N18)*P13*((1-$P$15*0.0025))</f>
        <v>230.8196013</v>
      </c>
      <c r="E86" s="132">
        <f>(B86*C86/60)*(1-(F86*0.0025))*(0.88)</f>
        <v>119.1211945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121.5382714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627.8125541</v>
      </c>
      <c r="C112" s="88">
        <f>(60/C43)*0.05+(60/C46)*0.05+(60/C49)*0.05+IF(J3="Windfury",(60/C44)*0.05,0)</f>
        <v>1.713733631</v>
      </c>
      <c r="D112" s="88">
        <f>(B112*C112)/60</f>
        <v>17.9317248</v>
      </c>
      <c r="E112" s="88">
        <f>0.33*IF(J3="Flametongue",1.3,1)*(1+(0.05*D12))*(1+(N17/2))*(0.83+N18)*P13*(1-SUM(P2:P3))*IF(H18,1.1,1)*IF(H19,1.15,1)*IF(H20,1.1,1)</f>
        <v>0.6480241218</v>
      </c>
      <c r="F112" s="88">
        <f>(E112*C112)/60</f>
        <v>0.01850901219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1700.834633</v>
      </c>
      <c r="C116" s="88">
        <f t="shared" ref="C116:C118" si="13">2.4/(60/1.6)</f>
        <v>0.064</v>
      </c>
      <c r="D116" s="75">
        <f>C116*(60/C43+IF(J3="Windfury",60/C44,0)+60/C46+60/C49)*(1-P2)</f>
        <v>2.070738621</v>
      </c>
      <c r="E116" s="75">
        <f t="shared" ref="E116:E118" si="14">B116*D116/60</f>
        <v>58.69973272</v>
      </c>
    </row>
    <row r="117">
      <c r="A117" s="8" t="s">
        <v>282</v>
      </c>
      <c r="B117" s="75">
        <f>(AVERAGE(493,552)+N15*(2.5/3.5))*1.05*1.1*1.1666*1.05*(1+(N17))*(0.83+N18)*P13</f>
        <v>1610.874131</v>
      </c>
      <c r="C117" s="88">
        <f t="shared" si="13"/>
        <v>0.064</v>
      </c>
      <c r="D117" s="75">
        <f>C116*(60/C43+IF(J3="Windfury",60/C44,0)+60/C46+60/C49)*(1-P2)</f>
        <v>2.070738621</v>
      </c>
      <c r="E117" s="75">
        <f t="shared" si="14"/>
        <v>55.59498795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1700.961769</v>
      </c>
      <c r="C118" s="139">
        <f t="shared" si="13"/>
        <v>0.064</v>
      </c>
      <c r="D118" s="138">
        <f>C116*(60/C43+IF(J3="Windfury",60/C44,0)+60/C46+60/C49)*(1-P2)</f>
        <v>2.070738621</v>
      </c>
      <c r="E118" s="138">
        <f t="shared" si="14"/>
        <v>58.70412046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1735.234854</v>
      </c>
      <c r="C119" s="4"/>
      <c r="D119" s="4"/>
      <c r="E119" s="138">
        <f>E118+(B119*D118/60)</f>
        <v>118.5910843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6">
      <formula1>"0,1,2"</formula1>
    </dataValidation>
    <dataValidation type="list" allowBlank="1" showErrorMessage="1" sqref="F28">
      <formula1>"None,Molten Blast,Lightning Bolt"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0.9501154937</v>
      </c>
    </row>
    <row r="18">
      <c r="A18" s="8" t="s">
        <v>134</v>
      </c>
      <c r="B18" s="25">
        <f>'Main(automatic)'!B18+0.01</f>
        <v>0.01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0.138529327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986.7117778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0.3592783094</v>
      </c>
      <c r="V22" s="42"/>
      <c r="W22" s="42"/>
    </row>
    <row r="23">
      <c r="A23" s="40" t="s">
        <v>163</v>
      </c>
      <c r="B23" s="43">
        <f>$G$61</f>
        <v>1522.856643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0.6564368122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0.7122955412</v>
      </c>
      <c r="C26" s="18">
        <f>1-B26</f>
        <v>0.2877044588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I43*(IF($J$3="Rockbiter",1+U3,1)+IF(AND($J$3="Rockbiter",$F$11),U3*U4,0))*IF($J$6,0.75,1)*IF($J$7,0.8,1)*IF($F$17,1.02,1)*IF($F$18,0.98,1)*(1-U7)*(1+U5)</f>
        <v>265.2319892</v>
      </c>
      <c r="K43" s="18">
        <f t="shared" ref="K43:K52" si="4">I43/$B$23</f>
        <v>0.3095896631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I44*(IF($J$3="Rockbiter",1+U3,1)+IF(AND($J$3="Rockbiter",$F$11),U3*U4,0))*IF($J$6,0.7,1)*IF($J$7,0.8,1)*IF($F$17,1.02,1)*IF($F$18,0.98,1)*(1-U7)*(1+U5)</f>
        <v>167.8011554</v>
      </c>
      <c r="K44" s="18">
        <f t="shared" si="4"/>
        <v>0.2098547092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116.3896996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551.4346001</v>
      </c>
      <c r="G46" s="74">
        <f>G43*0.6*(1+U8)</f>
        <v>639.59913</v>
      </c>
      <c r="H46" s="79">
        <f>(AVERAGE(F46,G46)*($P$10+$U$8)*(2*(1+$D$17*0.25))+(AVERAGE(F46,G46)*(1-$P$2-$P$3-$P$4-($P$10+U8)))+((AVERAGE(F46,G46)-$P$6)*$P$4))</f>
        <v>913.4037677</v>
      </c>
      <c r="I46" s="75">
        <f t="shared" ref="I46:I47" si="6">H46/C46</f>
        <v>101.4893075</v>
      </c>
      <c r="J46" s="76">
        <f>I46*(IF($J$3="Rockbiter",1+U3,1)+IF(AND($J$3="Rockbiter",$F$11),U3*U4,0))*IF($J$6,0.75,1)*IF($J$7,0.8,1)*IF($F$17,1.02,1)*IF($F$18,0.98,1)*(1-U7)*(1+U5)</f>
        <v>57.09534718</v>
      </c>
      <c r="K46" s="18">
        <f t="shared" si="4"/>
        <v>0.06664403246</v>
      </c>
      <c r="L46" s="80">
        <f>IF($J$2="Lightning",(182*(1-J26*0.2)),(182*(1-J26*0.2))-(150+($N$3/10)))-($P$17*0.6*182)</f>
        <v>78.24738809</v>
      </c>
      <c r="M46" s="74">
        <f>L46/C46</f>
        <v>8.694154232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9">
        <f>(AVERAGE(F47,G47)*($P$10+$U$8)*(1.5+($D$17*0.25))+(AVERAGE(F47,G47)*(1-$P$2-$P$3-$P$4-($P$10+U8)))+((AVERAGE(F47,G47)-$P$6)*$P$4))*IF(J23,1+U9,1)</f>
        <v>364.0587844</v>
      </c>
      <c r="I47" s="75">
        <f t="shared" si="6"/>
        <v>40.45097604</v>
      </c>
      <c r="J47" s="76">
        <f>I47*(IF($J$3="Rockbiter",1+U3,1)+IF(AND($J$3="Rockbiter",$F$11),U3*U4,0))*IF($J$6,0.75,1)*IF($J$7,0.8,1)*IF($F$17,1.02,1)*IF($F$18,0.98,1)*(1-U7)*(1+U5)</f>
        <v>22.75670785</v>
      </c>
      <c r="K47" s="18">
        <f t="shared" si="4"/>
        <v>0.02656256335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1107.843516</v>
      </c>
      <c r="G48" s="74">
        <f>IF($J$2="Lightning",(198+(D48*N15)+(E48*$N$3))*IF($J$23,1+U9,1)*IF($F$12,1.15,1)*(1+(D17*0.05))*(1+(D9*0.01))*IF($H$20,1+(0.1*H67),1)*IF(J26,1.15,1),0)</f>
        <v>1107.843516</v>
      </c>
      <c r="H48" s="79">
        <f>G48*((1-$P$14*0.0025)*$P$13)*(1-P2-P3)</f>
        <v>986.1801407</v>
      </c>
      <c r="I48" s="75">
        <f>IF(F15,((H48/C48)+(H48/C43)*0.15+(H48/C46)*0.15+(H48/C49)*0.15+IF(J3="Windfury",H48/C44,0)*0.15)*(1-P2),(H48/C48)*(1-P2))</f>
        <v>103.7680659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77.82604944</v>
      </c>
      <c r="K48" s="18">
        <f t="shared" si="4"/>
        <v>0.06814040339</v>
      </c>
      <c r="L48" s="80">
        <f>IF($J$2="Lightning",(182*(1-J26*0.2)),(182*(1-J26*0.2))-(150+($N$3/10)))-($P$17*0.6*182)</f>
        <v>78.24738809</v>
      </c>
      <c r="M48" s="74">
        <f t="shared" ref="M48:M51" si="7">L48/C48</f>
        <v>8.694154232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928.2482435</v>
      </c>
      <c r="G49" s="74">
        <f>$G$43*1.01*(1+U8)</f>
        <v>1076.658536</v>
      </c>
      <c r="H49" s="79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I49*(IF($J$3="Rockbiter",1+U3,1)+IF(AND($J$3="Rockbiter",$F$11),U3*U4,0))*IF($J$6,0.75,1)*IF($J$7,0.8,1)*IF($F$17,1.02,1)*IF($F$18,0.98,1)*(1-U7)*(1+U5)</f>
        <v>108.1243137</v>
      </c>
      <c r="K49" s="18">
        <f t="shared" si="4"/>
        <v>0.1262071365</v>
      </c>
      <c r="L49" s="80">
        <f>(152*(1-J26*0.2))-($P$17*0.6*152)</f>
        <v>65.34946697</v>
      </c>
      <c r="M49" s="74">
        <f t="shared" si="7"/>
        <v>8.168683372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1046.126813</v>
      </c>
      <c r="G50" s="80">
        <f>(520+(E50*$N$3)+(D50*$N$15)+IF(F7,30,0))*(1+(D17*0.05))*(1+(D9*0.01))*IF($J$23,1+U9,1)*IF(F14,1.1,1)*IF(J26,1.15,1)*IF($H$20,1+(0.1*H67),1)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1109.104303</v>
      </c>
      <c r="I50" s="75">
        <f>H50*2/15</f>
        <v>147.8805737</v>
      </c>
      <c r="J50" s="76">
        <f>I50*(IF($J$3="Rockbiter",1+U3,1)+IF(AND($J$3="Rockbiter",$F$11),U3*U4,0))*IF($J$6,0.75,1)*IF($J$7,0.8,1)*IF($F$17,1.02,1)*IF($F$18,0.98,1)*1.5*(1+U5)</f>
        <v>166.3656454</v>
      </c>
      <c r="K50" s="18">
        <f t="shared" si="4"/>
        <v>0.09710735048</v>
      </c>
      <c r="L50" s="80">
        <f>(450*(1-($D$10*0.02))*(1-J26*0.2))-($P$17*0.6*450)</f>
        <v>193.4688167</v>
      </c>
      <c r="M50" s="74">
        <f t="shared" si="7"/>
        <v>38.69376334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643.839013</v>
      </c>
      <c r="I51" s="75">
        <f t="shared" ref="I51:I52" si="9">H51/15</f>
        <v>42.92260087</v>
      </c>
      <c r="J51" s="76">
        <f>I51*(IF($J$3="Rockbiter",1+U3,1)+IF(AND($J$3="Rockbiter",$F$11),U3*U4,0))*IF($J$6,0.75,1)*IF($J$7,0.8,1)*IF($F$17,1.02,1)*IF($F$18,0.98,1)*(1+U5)</f>
        <v>32.19195065</v>
      </c>
      <c r="K51" s="18">
        <f t="shared" si="4"/>
        <v>0.02818558206</v>
      </c>
      <c r="L51" s="80">
        <f>(410*(1-($D$10*0.02))*(1-J26*0.2)-($P$17*0.6*450))</f>
        <v>153.4688167</v>
      </c>
      <c r="M51" s="74">
        <f t="shared" si="7"/>
        <v>30.69376334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166.7451844</v>
      </c>
      <c r="G52" s="79">
        <f>(82+(E52*$N$3)+(D52*$N$16)+IF($F$7,30,0))*(1+D9*0.01)*IF(J3="Flametongue",1+(D12*0.1),1)*(1+($D$14*0.05))*(1+($D$17*0.05))*IF($H$18,1.1,1)*IF($H$19,1.15,1)*IF($H$20,1+(0.1*H67),1)*IF(J26,1.15,1)</f>
        <v>166.7451844</v>
      </c>
      <c r="H52" s="80">
        <f>(AVERAGE(F52,G52))*MIN(IF($H$3=63,0.83+$N$18,0.96+$N$18-(($H$3-60)*0.01)),0.99)*((1-$P$15*0.0025)*$P$13)*5</f>
        <v>550.3030761</v>
      </c>
      <c r="I52" s="75">
        <f t="shared" si="9"/>
        <v>36.68687174</v>
      </c>
      <c r="J52" s="76">
        <f>I52*(IF($J$3="Rockbiter",1+U3,1)+IF(AND($J$3="Rockbiter",$F$11),U3*U4,0))*IF($J$6,0.75,1)*IF($J$7,0.8,1)*IF($F$17,1.02,1)*IF($F$18,0.98,1)*(1+U5)</f>
        <v>27.5151538</v>
      </c>
      <c r="K52" s="18">
        <f t="shared" si="4"/>
        <v>0.02409082425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0.04361773522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57.50558891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89.00901026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516.8413757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1125.174972</v>
      </c>
      <c r="D61" s="103">
        <f>$H$50*2/15</f>
        <v>147.8805737</v>
      </c>
      <c r="E61" s="103">
        <f>IF($H$6,IF($J$2="Lightning",$H$53/$H$7,0),0)+IF(J2="Lightning",I48,0)+(($H$51+$H$52)/15)+IF(F21,C66,0)+IF(F22,C67,0)+IF(F9,IF(H6,C69,0),0)+IF(F23,C68,0)+IF(F24,C70,0)</f>
        <v>249.8010963</v>
      </c>
      <c r="F61" s="103">
        <f>IF(J4="Magma",I56,0)+IF($J$4="Searing",I55,0)+IF($J$4="Nova",I57,0)+B76+B77</f>
        <v>0</v>
      </c>
      <c r="G61" s="103">
        <f>SUM(C61,D61,E61,F61)</f>
        <v>1522.856643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1528.664148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986.7117778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1125.174972</v>
      </c>
      <c r="D62" s="103">
        <f>$H$50/5</f>
        <v>221.8208606</v>
      </c>
      <c r="E62" s="103">
        <f>IF($H$6,IF($J$2="Lightning",$H$53/$H$7,0),0)+IF(J2="Lightning",I48,0)+IF(F21,C66,0)+IF(F22,C67,0)+IF(F9,IF(H6,C69,0),0)+IF(F24,C70,0)</f>
        <v>170.1916237</v>
      </c>
      <c r="F62" s="103">
        <f>IF(J4="Magma",I56,0)+IF($J$4="Searing",I55,0)+IF($J$4="Nova",I57,0)+B76+B77</f>
        <v>0</v>
      </c>
      <c r="G62" s="103">
        <f>C62+D62+E62+F62</f>
        <v>1517.187457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1522.994962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1010.187496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448.4143314</v>
      </c>
      <c r="C66" s="112">
        <f>(B66*((((60/C43)+(60/C46)+(60/C49)+IF(J3="Windfury",60/C44,0))*1-$P$2)*0.185))/60</f>
        <v>69.93593961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166.2353756</v>
      </c>
      <c r="C67" s="103">
        <f>(B67*((((60/C43)+(60/C46)+(60/C49)+IF(J3="Windfury",60/C44,0))*(1-P2))*0.08633)/60)</f>
        <v>11.46935995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31.73836217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192.926981</v>
      </c>
      <c r="C70" s="103">
        <f>((B70/C43)*K66+(B70/C46)*K66+(B70/C49)*K66+IF(J3="Windfury",(B70/C44)*K66,0))*(1-SUM(P2:P3))</f>
        <v>11.10144362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36.48830911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53.41921157</v>
      </c>
      <c r="H72" s="88">
        <f>SUM(A72:F72)*(0.83+$N$18)</f>
        <v>53.41921157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606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0.5016868575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2077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0.5596197744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26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147">
        <f>(1+'Main(automatic)'!B7)*1.01-1</f>
        <v>0.09347085612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0.3668013185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11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11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11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11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16711.48779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11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0.9840396018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0.9504346736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11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0.1285635642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0.8592153092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24.12076598</v>
      </c>
      <c r="O19" s="10" t="s">
        <v>147</v>
      </c>
      <c r="P19" s="15">
        <f>IF(J3="Windfury",((60/C43)+(60/C49)+(60/C46))*0.2*(1-SUM($P$3,$P$2)),0)</f>
        <v>6.997702829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11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988.8728243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0.3570952297</v>
      </c>
      <c r="V22" s="42"/>
      <c r="W22" s="42"/>
    </row>
    <row r="23">
      <c r="A23" s="40" t="s">
        <v>163</v>
      </c>
      <c r="B23" s="43">
        <f>$G$61</f>
        <v>1528.198097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0.6536206797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0.6189570826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0.7145397804</v>
      </c>
      <c r="C26" s="18">
        <f>1-B26</f>
        <v>0.2854602196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2.633886836</v>
      </c>
      <c r="D43" s="7"/>
      <c r="E43" s="73">
        <f>14/F4</f>
        <v>3.888888889</v>
      </c>
      <c r="F43" s="74">
        <f>($F$2+($N$3/E43))*(1+U8)*IF($H$13,1.04,1)*(1-$P$12)+IF($H14,8,0)</f>
        <v>836.0609992</v>
      </c>
      <c r="G43" s="74">
        <f>($F$3+($N$3/E43))*(1+U8)*IF($H$13,1.04,1)*(1-$P$12)+IF($H14,8,0)</f>
        <v>969.6436203</v>
      </c>
      <c r="H43" s="74">
        <f>((AVERAGE(F43,G43)*$P$5*$P$7)+(AVERAGE(F43,G43)*$P$10*2)+(AVERAGE(F43,G43)*$P$8)+((AVERAGE(F43,G43)-$P$6)*$P$4))</f>
        <v>1254.78414</v>
      </c>
      <c r="I43" s="75">
        <f>H43/C43</f>
        <v>476.4001714</v>
      </c>
      <c r="J43" s="76">
        <f>I43*(IF($J$3="Rockbiter",1+U3,1)+IF(AND($J$3="Rockbiter",$F$11),U3*U4,0))*IF($J$6,0.75,1)*IF($J$7,0.8,1)*IF($F$17,1.02,1)*IF($F$18,0.98,1)*(1-U7)*(1+U5)</f>
        <v>268.0108264</v>
      </c>
      <c r="K43" s="18">
        <f t="shared" ref="K43:K52" si="4">I43/$B$23</f>
        <v>0.3117398015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4.287121179</v>
      </c>
      <c r="D44" s="7"/>
      <c r="E44" s="73"/>
      <c r="F44" s="74">
        <f>($F$2+(($N$3+323)/$E$43))*(1+U8)*IF($H$13,1.04,1)*(1-$P$12)+IF($H14,8,0)</f>
        <v>925.5367318</v>
      </c>
      <c r="G44" s="74">
        <f>($F$3+(($N$3+323)/$E$43))*(1+U8)*IF($H$13,1.04,1)*(1-$P$12)+IF($H14,8,0)</f>
        <v>1059.119353</v>
      </c>
      <c r="H44" s="74">
        <f>((AVERAGE(F44,G44)*$P$5*$P$7)+(AVERAGE(F44,G44)*$P$10*2)+(AVERAGE(F44,G44)*$P$8)+((AVERAGE(F44,G44)-$P$6)*$P$4))*IF(J3="Windfury",1,0)</f>
        <v>1379.137513</v>
      </c>
      <c r="I44" s="75">
        <f>IF($J$3="Windfury",(H44/C44),0)</f>
        <v>321.6931492</v>
      </c>
      <c r="J44" s="76">
        <f>I44*(IF($J$3="Rockbiter",1+U3,1)+IF(AND($J$3="Rockbiter",$F$11),U3*U4,0))*IF($J$6,0.7,1)*IF($J$7,0.8,1)*IF($F$17,1.02,1)*IF($F$18,0.98,1)*(1-U7)*(1+U5)</f>
        <v>168.9114219</v>
      </c>
      <c r="K44" s="18">
        <f t="shared" si="4"/>
        <v>0.2105048749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2.633886836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115.4302893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551.8002595</v>
      </c>
      <c r="G46" s="74">
        <f>G43*0.6*(1+U8)</f>
        <v>639.9647894</v>
      </c>
      <c r="H46" s="79">
        <f>(AVERAGE(F46,G46)*($P$10+$U$8)*(2*(1+$D$17*0.25))+(AVERAGE(F46,G46)*(1-$P$2-$P$3-$P$4-($P$10+U8)))+((AVERAGE(F46,G46)-$P$6)*$P$4))</f>
        <v>913.964616</v>
      </c>
      <c r="I46" s="75">
        <f t="shared" ref="I46:I47" si="6">H46/C46</f>
        <v>101.551624</v>
      </c>
      <c r="J46" s="76">
        <f>I46*(IF($J$3="Rockbiter",1+U3,1)+IF(AND($J$3="Rockbiter",$F$11),U3*U4,0))*IF($J$6,0.75,1)*IF($J$7,0.8,1)*IF($F$17,1.02,1)*IF($F$18,0.98,1)*(1-U7)*(1+U5)</f>
        <v>57.13040487</v>
      </c>
      <c r="K46" s="18">
        <f t="shared" si="4"/>
        <v>0.06645187178</v>
      </c>
      <c r="L46" s="80">
        <f>IF($J$2="Lightning",(182*(1-J26*0.2)),(182*(1-J26*0.2))-(150+($N$3/10)))-($P$17*0.6*182)</f>
        <v>78.21253364</v>
      </c>
      <c r="M46" s="74">
        <f>L46/C46</f>
        <v>8.690281516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217.8923214</v>
      </c>
      <c r="G47" s="74">
        <f>(($F$3+($N$3/E43))*(0.2)+($D$47*$N$15))*(1+U8)*IF($H$20,1+(0.1*H67),1)*(1+(D17*0.05))*IF(J23,1+U9,1)</f>
        <v>251.9923214</v>
      </c>
      <c r="H47" s="79">
        <f>(AVERAGE(F47,G47)*($P$10+$U$8)*(1.5+($D$17*0.25))+(AVERAGE(F47,G47)*(1-$P$2-$P$3-$P$4-($P$10+U8)))+((AVERAGE(F47,G47)-$P$6)*$P$4))*IF(J23,1+U9,1)</f>
        <v>364.2780694</v>
      </c>
      <c r="I47" s="75">
        <f t="shared" si="6"/>
        <v>40.47534104</v>
      </c>
      <c r="J47" s="76">
        <f>I47*(IF($J$3="Rockbiter",1+U3,1)+IF(AND($J$3="Rockbiter",$F$11),U3*U4,0))*IF($J$6,0.75,1)*IF($J$7,0.8,1)*IF($F$17,1.02,1)*IF($F$18,0.98,1)*(1-U7)*(1+U5)</f>
        <v>22.77041499</v>
      </c>
      <c r="K47" s="18">
        <f t="shared" si="4"/>
        <v>0.02648566382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9">
        <f>IF($J$2="Lightning",(198+(D48*N15)+(E48*$N$3))*IF($J$23,1+U9,1)*IF($F$12,1.15,1)*(1+(D17*0.05))*(1+(D9*0.01))*IF($H$20,1+(0.1*H67),1)*IF(J26,1.15,1),0)</f>
        <v>1108.598203</v>
      </c>
      <c r="G48" s="79">
        <f>IF($J$2="Lightning",(198+(D48*N15)+(E48*$N$3))*IF($J$23,1+U9,1)*IF($F$12,1.15,1)*(1+(D17*0.05))*(1+(D9*0.01))*IF($H$20,1+(0.1*H67),1)*IF(J26,1.15,1),0)</f>
        <v>1108.598203</v>
      </c>
      <c r="H48" s="79">
        <f>G48*((1-$P$14*0.0025)*$P$13)*(1-P2-P3)</f>
        <v>986.8519485</v>
      </c>
      <c r="I48" s="75">
        <f>IF(F15,((H48/C48)+(H48/C43)*0.15+(H48/C46)*0.15+(H48/C49)*0.15+IF(J3="Windfury",H48/C44,0)*0.15)*(1-P2),(H48/C48)*(1-P2))</f>
        <v>103.838755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77.87906627</v>
      </c>
      <c r="K48" s="18">
        <f t="shared" si="4"/>
        <v>0.06794849125</v>
      </c>
      <c r="L48" s="80">
        <f>IF($J$2="Lightning",(182*(1-J26*0.2)),(182*(1-J26*0.2))-(150+($N$3/10)))-($P$17*0.6*182)</f>
        <v>78.21253364</v>
      </c>
      <c r="M48" s="74">
        <f t="shared" ref="M48:M51" si="7">L48/C48</f>
        <v>8.690281516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928.8637701</v>
      </c>
      <c r="G49" s="74">
        <f>$G$43*1.01*(1+U8)</f>
        <v>1077.274062</v>
      </c>
      <c r="H49" s="79">
        <f>(AVERAGE(F49,G49)*($P$10+$U$8)*2)+(AVERAGE(F49,G49)*(1-$P$2-$P$3-$P$4-($P$10+U8)))+((AVERAGE(F49,G49)-$P$6)*$P$4)</f>
        <v>1538.507104</v>
      </c>
      <c r="I49" s="75">
        <f>H49/C49</f>
        <v>192.3133879</v>
      </c>
      <c r="J49" s="76">
        <f>I49*(IF($J$3="Rockbiter",1+U3,1)+IF(AND($J$3="Rockbiter",$F$11),U3*U4,0))*IF($J$6,0.75,1)*IF($J$7,0.8,1)*IF($F$17,1.02,1)*IF($F$18,0.98,1)*(1-U7)*(1+U5)</f>
        <v>108.1907042</v>
      </c>
      <c r="K49" s="18">
        <f t="shared" si="4"/>
        <v>0.1258432322</v>
      </c>
      <c r="L49" s="80">
        <f>(152*(1-J26*0.2))-($P$17*0.6*152)</f>
        <v>65.32035777</v>
      </c>
      <c r="M49" s="74">
        <f t="shared" si="7"/>
        <v>8.165044721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1046.415563</v>
      </c>
      <c r="G50" s="80">
        <f>(520+(E50*$N$3)+(D50*$N$15)+IF(F7,30,0))*(1+(D17*0.05))*(1+(D9*0.01))*IF($J$23,1+U9,1)*IF(F14,1.1,1)*IF(J26,1.15,1)*IF($H$20,1+(0.1*H67),1)</f>
        <v>1086.840563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1099.412656</v>
      </c>
      <c r="I50" s="75">
        <f>H50*2/15</f>
        <v>146.5883542</v>
      </c>
      <c r="J50" s="76">
        <f>I50*(IF($J$3="Rockbiter",1+U3,1)+IF(AND($J$3="Rockbiter",$F$11),U3*U4,0))*IF($J$6,0.75,1)*IF($J$7,0.8,1)*IF($F$17,1.02,1)*IF($F$18,0.98,1)*1.5*(1+U5)</f>
        <v>164.9118985</v>
      </c>
      <c r="K50" s="18">
        <f t="shared" si="4"/>
        <v>0.09592235096</v>
      </c>
      <c r="L50" s="80">
        <f>(450*(1-($D$10*0.02))*(1-J26*0.2))-($P$17*0.6*450)</f>
        <v>193.3826381</v>
      </c>
      <c r="M50" s="74">
        <f t="shared" si="7"/>
        <v>38.67652763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638.9224892</v>
      </c>
      <c r="I51" s="75">
        <f t="shared" ref="I51:I52" si="9">H51/15</f>
        <v>42.59483261</v>
      </c>
      <c r="J51" s="76">
        <f>I51*(IF($J$3="Rockbiter",1+U3,1)+IF(AND($J$3="Rockbiter",$F$11),U3*U4,0))*IF($J$6,0.75,1)*IF($J$7,0.8,1)*IF($F$17,1.02,1)*IF($F$18,0.98,1)*(1+U5)</f>
        <v>31.94612446</v>
      </c>
      <c r="K51" s="18">
        <f t="shared" si="4"/>
        <v>0.02787258582</v>
      </c>
      <c r="L51" s="80">
        <f>(410*(1-($D$10*0.02))*(1-J26*0.2)-($P$17*0.6*450))</f>
        <v>153.3826381</v>
      </c>
      <c r="M51" s="74">
        <f t="shared" si="7"/>
        <v>30.67652763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166.7890166</v>
      </c>
      <c r="G52" s="79">
        <f>(82+(E52*$N$3)+(D52*$N$16)+IF($F$7,30,0))*(1+D9*0.01)*IF(J3="Flametongue",1+(D12*0.1),1)*(1+($D$14*0.05))*(1+($D$17*0.05))*IF($H$18,1.1,1)*IF($H$19,1.15,1)*IF($H$20,1+(0.1*H67),1)*IF(J26,1.15,1)</f>
        <v>166.7890166</v>
      </c>
      <c r="H52" s="80">
        <f>(AVERAGE(F52,G52))*MIN(IF($H$3=63,0.83+$N$18,0.96+$N$18-(($H$3-60)*0.01)),0.99)*((1-$P$15*0.0025)*$P$13)*5</f>
        <v>544.7838565</v>
      </c>
      <c r="I52" s="75">
        <f t="shared" si="9"/>
        <v>36.31892376</v>
      </c>
      <c r="J52" s="76">
        <f>I52*(IF($J$3="Rockbiter",1+U3,1)+IF(AND($J$3="Rockbiter",$F$11),U3*U4,0))*IF($J$6,0.75,1)*IF($J$7,0.8,1)*IF($F$17,1.02,1)*IF($F$18,0.98,1)*(1+U5)</f>
        <v>27.23919282</v>
      </c>
      <c r="K52" s="18">
        <f t="shared" si="4"/>
        <v>0.02376584805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0.04346527976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57.02262991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88.2614707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512.5006986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1132.433674</v>
      </c>
      <c r="D61" s="103">
        <f>$H$50*2/15</f>
        <v>146.5883542</v>
      </c>
      <c r="E61" s="103">
        <f>IF($H$6,IF($J$2="Lightning",$H$53/$H$7,0),0)+IF(J2="Lightning",I48,0)+(($H$51+$H$52)/15)+IF(F21,C66,0)+IF(F22,C67,0)+IF(F9,IF(H6,C69,0),0)+IF(F23,C68,0)+IF(F24,C70,0)</f>
        <v>249.1760692</v>
      </c>
      <c r="F61" s="103">
        <f>IF(J4="Magma",I56,0)+IF($J$4="Searing",I55,0)+IF($J$4="Nova",I57,0)+B76+B77</f>
        <v>0</v>
      </c>
      <c r="G61" s="103">
        <f>SUM(C61,D61,E61,F61)</f>
        <v>1528.198097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1534.009559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988.8728243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1132.433674</v>
      </c>
      <c r="D62" s="103">
        <f>$H$50/5</f>
        <v>219.8825313</v>
      </c>
      <c r="E62" s="103">
        <f>IF($H$6,IF($J$2="Lightning",$H$53/$H$7,0),0)+IF(J2="Lightning",I48,0)+IF(F21,C66,0)+IF(F22,C67,0)+IF(F9,IF(H6,C69,0),0)+IF(F24,C70,0)</f>
        <v>170.2623128</v>
      </c>
      <c r="F62" s="103">
        <f>IF(J4="Magma",I56,0)+IF($J$4="Searing",I55,0)+IF($J$4="Nova",I57,0)+B76+B77</f>
        <v>0</v>
      </c>
      <c r="G62" s="103">
        <f>C62+D62+E62+F62</f>
        <v>1522.578518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1528.389979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1012.143456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443.7521987</v>
      </c>
      <c r="C66" s="112">
        <f>(B66*((((60/C43)+(60/C46)+(60/C49)+IF(J3="Windfury",60/C44,0))*1-$P$2)*0.185))/60</f>
        <v>69.62828808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166.0873714</v>
      </c>
      <c r="C67" s="103">
        <f>(B67*((((60/C43)+(60/C46)+(60/C49)+IF(J3="Windfury",60/C44,0))*(1-P2))*0.08633)/60)</f>
        <v>11.52852848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0.4794541345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19.9027271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31.41178766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190.9418429</v>
      </c>
      <c r="C70" s="103">
        <f>((B70/C43)*K66+(B70/C46)*K66+(B70/C49)*K66+IF(J3="Windfury",(B70/C44)*K66,0))*(1-SUM(P2:P3))</f>
        <v>11.05373708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36.63591537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53.01104015</v>
      </c>
      <c r="H72" s="88">
        <f>SUM(A72:F72)*(0.83+$N$18)</f>
        <v>53.01104015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103.838755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'Main(automatic)'!B3+100</f>
        <v>298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2175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</f>
        <v>0.16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0.9498171922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1009.40479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0.3559408876</v>
      </c>
      <c r="V22" s="42"/>
      <c r="W22" s="42"/>
    </row>
    <row r="23">
      <c r="A23" s="40" t="s">
        <v>163</v>
      </c>
      <c r="B23" s="43">
        <f>$G$61</f>
        <v>1561.195617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0.6521261769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0.7155675692</v>
      </c>
      <c r="C26" s="18">
        <f>1-B26</f>
        <v>0.2844324308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2.659848884</v>
      </c>
      <c r="D43" s="7"/>
      <c r="E43" s="73">
        <f>14/F4</f>
        <v>3.888888889</v>
      </c>
      <c r="F43" s="74">
        <f>($F$2+($N$3/E43))*(1+U8)*IF($H$13,1.04,1)*(1-$P$12)+IF($H14,8,0)</f>
        <v>863.2084351</v>
      </c>
      <c r="G43" s="74">
        <f>($F$3+($N$3/E43))*(1+U8)*IF($H$13,1.04,1)*(1-$P$12)+IF($H14,8,0)</f>
        <v>996.7910562</v>
      </c>
      <c r="H43" s="74">
        <f>((AVERAGE(F43,G43)*$P$5*$P$7)+(AVERAGE(F43,G43)*$P$10*2)+(AVERAGE(F43,G43)*$P$8)+((AVERAGE(F43,G43)-$P$6)*$P$4))</f>
        <v>1292.513646</v>
      </c>
      <c r="I43" s="75">
        <f>H43/C43</f>
        <v>485.9349921</v>
      </c>
      <c r="J43" s="76">
        <f>I43*(IF($J$3="Rockbiter",1+U3,1)+IF(AND($J$3="Rockbiter",$F$11),U3*U4,0))*IF($J$6,0.75,1)*IF($J$7,0.8,1)*IF($F$17,1.02,1)*IF($F$18,0.98,1)*(1-U7)*(1+U5)</f>
        <v>273.3748782</v>
      </c>
      <c r="K43" s="18">
        <f t="shared" ref="K43:K52" si="4">I43/$B$23</f>
        <v>0.311258235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4.313077784</v>
      </c>
      <c r="D44" s="7"/>
      <c r="E44" s="73"/>
      <c r="F44" s="74">
        <f>($F$2+(($N$3+323)/$E$43))*(1+U8)*IF($H$13,1.04,1)*(1-$P$12)+IF($H14,8,0)</f>
        <v>952.6841677</v>
      </c>
      <c r="G44" s="74">
        <f>($F$3+(($N$3+323)/$E$43))*(1+U8)*IF($H$13,1.04,1)*(1-$P$12)+IF($H14,8,0)</f>
        <v>1086.266789</v>
      </c>
      <c r="H44" s="74">
        <f>((AVERAGE(F44,G44)*$P$5*$P$7)+(AVERAGE(F44,G44)*$P$10*2)+(AVERAGE(F44,G44)*$P$8)+((AVERAGE(F44,G44)-$P$6)*$P$4))*IF(J3="Windfury",1,0)</f>
        <v>1416.86702</v>
      </c>
      <c r="I44" s="75">
        <f>IF($J$3="Windfury",(H44/C44),0)</f>
        <v>328.5048614</v>
      </c>
      <c r="J44" s="76">
        <f>I44*(IF($J$3="Rockbiter",1+U3,1)+IF(AND($J$3="Rockbiter",$F$11),U3*U4,0))*IF($J$6,0.7,1)*IF($J$7,0.8,1)*IF($F$17,1.02,1)*IF($F$18,0.98,1)*(1-U7)*(1+U5)</f>
        <v>172.4880476</v>
      </c>
      <c r="K44" s="18">
        <f t="shared" si="4"/>
        <v>0.21041877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2.659848884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115.4269933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569.7175672</v>
      </c>
      <c r="G46" s="74">
        <f>G43*0.6*(1+U8)</f>
        <v>657.8820971</v>
      </c>
      <c r="H46" s="79">
        <f>(AVERAGE(F46,G46)*($P$10+$U$8)*(2*(1+$D$17*0.25))+(AVERAGE(F46,G46)*(1-$P$2-$P$3-$P$4-($P$10+U8)))+((AVERAGE(F46,G46)-$P$6)*$P$4))</f>
        <v>941.4461825</v>
      </c>
      <c r="I46" s="75">
        <f t="shared" ref="I46:I47" si="6">H46/C46</f>
        <v>104.6051314</v>
      </c>
      <c r="J46" s="76">
        <f>I46*(IF($J$3="Rockbiter",1+U3,1)+IF(AND($J$3="Rockbiter",$F$11),U3*U4,0))*IF($J$6,0.75,1)*IF($J$7,0.8,1)*IF($F$17,1.02,1)*IF($F$18,0.98,1)*(1-U7)*(1+U5)</f>
        <v>58.84823179</v>
      </c>
      <c r="K46" s="18">
        <f t="shared" si="4"/>
        <v>0.06700321874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224.8223214</v>
      </c>
      <c r="G47" s="74">
        <f>(($F$3+($N$3/E43))*(0.2)+($D$47*$N$15))*(1+U8)*IF($H$20,1+(0.1*H67),1)*(1+(D17*0.05))*IF(J23,1+U9,1)</f>
        <v>258.9223214</v>
      </c>
      <c r="H47" s="79">
        <f>(AVERAGE(F47,G47)*($P$10+$U$8)*(1.5+($D$17*0.25))+(AVERAGE(F47,G47)*(1-$P$2-$P$3-$P$4-($P$10+U8)))+((AVERAGE(F47,G47)-$P$6)*$P$4))*IF(J23,1+U9,1)</f>
        <v>375.0230344</v>
      </c>
      <c r="I47" s="75">
        <f t="shared" si="6"/>
        <v>41.66922604</v>
      </c>
      <c r="J47" s="76">
        <f>I47*(IF($J$3="Rockbiter",1+U3,1)+IF(AND($J$3="Rockbiter",$F$11),U3*U4,0))*IF($J$6,0.75,1)*IF($J$7,0.8,1)*IF($F$17,1.02,1)*IF($F$18,0.98,1)*(1-U7)*(1+U5)</f>
        <v>23.44206484</v>
      </c>
      <c r="K47" s="18">
        <f t="shared" si="4"/>
        <v>0.02669058611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1145.577891</v>
      </c>
      <c r="G48" s="74">
        <f>IF($J$2="Lightning",(198+(D48*N15)+(E48*$N$3))*IF($J$23,1+U9,1)*IF($F$12,1.15,1)*(1+(D17*0.05))*(1+(D9*0.01))*IF($H$20,1+(0.1*H67),1)*IF(J26,1.15,1),0)</f>
        <v>1145.577891</v>
      </c>
      <c r="H48" s="79">
        <f>G48*((1-$P$14*0.0025)*$P$13)*(1-P2-P3)</f>
        <v>1019.770527</v>
      </c>
      <c r="I48" s="75">
        <f>IF(F15,((H48/C48)+(H48/C43)*0.15+(H48/C46)*0.15+(H48/C49)*0.15+IF(J3="Windfury",H48/C44,0)*0.15)*(1-P2),(H48/C48)*(1-P2))</f>
        <v>107.302521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80.47689073</v>
      </c>
      <c r="K48" s="18">
        <f t="shared" si="4"/>
        <v>0.06873099042</v>
      </c>
      <c r="L48" s="80">
        <f>IF($J$2="Lightning",(182*(1-J26*0.2)),(182*(1-J26*0.2))-(150+($N$3/10)))-($P$17*0.6*182)</f>
        <v>78.27996261</v>
      </c>
      <c r="M48" s="74">
        <f t="shared" ref="M48:M51" si="7">L48/C48</f>
        <v>8.697773623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959.0245714</v>
      </c>
      <c r="G49" s="74">
        <f>$G$43*1.01*(1+U8)</f>
        <v>1107.434863</v>
      </c>
      <c r="H49" s="79">
        <f>(AVERAGE(F49,G49)*($P$10+$U$8)*2)+(AVERAGE(F49,G49)*(1-$P$2-$P$3-$P$4-($P$10+U8)))+((AVERAGE(F49,G49)-$P$6)*$P$4)</f>
        <v>1584.767741</v>
      </c>
      <c r="I49" s="75">
        <f>H49/C49</f>
        <v>198.0959676</v>
      </c>
      <c r="J49" s="76">
        <f>I49*(IF($J$3="Rockbiter",1+U3,1)+IF(AND($J$3="Rockbiter",$F$11),U3*U4,0))*IF($J$6,0.75,1)*IF($J$7,0.8,1)*IF($F$17,1.02,1)*IF($F$18,0.98,1)*(1-U7)*(1+U5)</f>
        <v>111.443839</v>
      </c>
      <c r="K49" s="18">
        <f t="shared" si="4"/>
        <v>0.1268873455</v>
      </c>
      <c r="L49" s="80">
        <f>(152*(1-J26*0.2))-($P$17*0.6*152)</f>
        <v>65.37667207</v>
      </c>
      <c r="M49" s="74">
        <f t="shared" si="7"/>
        <v>8.172084009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1060.564313</v>
      </c>
      <c r="G50" s="80">
        <f>(520+(E50*$N$3)+(D50*$N$15)+IF(F7,30,0))*(1+(D17*0.05))*(1+(D9*0.01))*IF($J$23,1+U9,1)*IF(F14,1.1,1)*IF(J26,1.15,1)*IF($H$20,1+(0.1*H67),1)</f>
        <v>1100.989313</v>
      </c>
      <c r="H50" s="80">
        <f>(AVERAGE(F50,G50))*(($N$17+$U$8+IF($F$14,0.05,0))*(1.5+($D$17*0.25)))+(AVERAGE(F50,G50))*((MIN(IF($H$3=63,0.83+$N$18,0.96+$N$18-(($H$3-60)*0.01)),0.99))-($N$17+$U$8+IF($F$14,0.05,0)))*((1-$P$14*0.0025)*$P$13)</f>
        <v>1113.961509</v>
      </c>
      <c r="I50" s="75">
        <f>H50*2/15</f>
        <v>148.5282012</v>
      </c>
      <c r="J50" s="76">
        <f>I50*(IF($J$3="Rockbiter",1+U3,1)+IF(AND($J$3="Rockbiter",$F$11),U3*U4,0))*IF($J$6,0.75,1)*IF($J$7,0.8,1)*IF($F$17,1.02,1)*IF($F$18,0.98,1)*1.5*(1+U5)</f>
        <v>167.0942264</v>
      </c>
      <c r="K50" s="18">
        <f t="shared" si="4"/>
        <v>0.09513747007</v>
      </c>
      <c r="L50" s="80">
        <f>(450*(1-($D$10*0.02))*(1-J26*0.2))-($P$17*0.6*450)</f>
        <v>193.5493581</v>
      </c>
      <c r="M50" s="74">
        <f t="shared" si="7"/>
        <v>38.70987162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771.4717077</v>
      </c>
      <c r="G51" s="80">
        <f>(293+(E51*$N$3)+(D51*$N$16)+IF($F$7,30,0))*(1+D9*0.01)*IF(J3="Flametongue",1+(D12*0.1),1)*(1+($D$14*0.05))*(1+($D$17*0.05))*IF($H$18,1.1,1)*IF($H$19,1.15,1)*IF($H$20,1+(0.1*H67),1)*IF(F14,1.1,1)*IF(J26,1.15,1)</f>
        <v>771.4717077</v>
      </c>
      <c r="H51" s="80">
        <f>(AVERAGE(F51,G51))*(($N$17+$U$8+IF($F$14,0.05,0))*(1.5+($D$17*0.25)))+(AVERAGE(F51,G51))*((MIN(IF($H$3=63,0.83+$N$18,0.96+$N$18-(($H$3-60)*0.01)),0.99))-($N$17+$U$8+IF($F$14,0.05,0)))*((1-$P$15*0.0025)*$P$13)</f>
        <v>650.187918</v>
      </c>
      <c r="I51" s="75">
        <f t="shared" ref="I51:I52" si="9">H51/15</f>
        <v>43.3458612</v>
      </c>
      <c r="J51" s="76">
        <f>I51*(IF($J$3="Rockbiter",1+U3,1)+IF(AND($J$3="Rockbiter",$F$11),U3*U4,0))*IF($J$6,0.75,1)*IF($J$7,0.8,1)*IF($F$17,1.02,1)*IF($F$18,0.98,1)*(1+U5)</f>
        <v>32.5093959</v>
      </c>
      <c r="K51" s="18">
        <f t="shared" si="4"/>
        <v>0.02776452915</v>
      </c>
      <c r="L51" s="80">
        <f>(410*(1-($D$10*0.02))*(1-J26*0.2)-($P$17*0.6*450))</f>
        <v>153.5493581</v>
      </c>
      <c r="M51" s="74">
        <f t="shared" si="7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168.9367969</v>
      </c>
      <c r="G52" s="79">
        <f>(82+(E52*$N$3)+(D52*$N$16)+IF($F$7,30,0))*(1+D9*0.01)*IF(J3="Flametongue",1+(D12*0.1),1)*(1+($D$14*0.05))*(1+($D$17*0.05))*IF($H$18,1.1,1)*IF($H$19,1.15,1)*IF($H$20,1+(0.1*H67),1)*IF(J26,1.15,1)</f>
        <v>168.9367969</v>
      </c>
      <c r="H52" s="80">
        <f>(AVERAGE(F52,G52))*MIN(IF($H$3=63,0.83+$N$18,0.96+$N$18-(($H$3-60)*0.01)),0.99)*((1-$P$15*0.0025)*$P$13)*5</f>
        <v>551.7794539</v>
      </c>
      <c r="I52" s="75">
        <f t="shared" si="9"/>
        <v>36.78529693</v>
      </c>
      <c r="J52" s="76">
        <f>I52*(IF($J$3="Rockbiter",1+U3,1)+IF(AND($J$3="Rockbiter",$F$11),U3*U4,0))*IF($J$6,0.75,1)*IF($J$7,0.8,1)*IF($F$17,1.02,1)*IF($F$18,0.98,1)*(1+U5)</f>
        <v>27.58897269</v>
      </c>
      <c r="K52" s="18">
        <f t="shared" si="4"/>
        <v>0.02356225993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0.04254659513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57.02097072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88.25890255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512.4857863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1158.810178</v>
      </c>
      <c r="D61" s="103">
        <f>$H$50*2/15</f>
        <v>148.5282012</v>
      </c>
      <c r="E61" s="103">
        <f>IF($H$6,IF($J$2="Lightning",$H$53/$H$7,0),0)+IF(J2="Lightning",I48,0)+(($H$51+$H$52)/15)+IF(F21,C66,0)+IF(F22,C67,0)+IF(F9,IF(H6,C69,0),0)+IF(F23,C68,0)+IF(F24,C70,0)</f>
        <v>253.8572369</v>
      </c>
      <c r="F61" s="103">
        <f>IF(J4="Magma",I56,0)+IF($J$4="Searing",I55,0)+IF($J$4="Nova",I57,0)+B76+B77</f>
        <v>0</v>
      </c>
      <c r="G61" s="103">
        <f>SUM(C61,D61,E61,F61)</f>
        <v>1561.195617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1567.200932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1009.40479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1158.810178</v>
      </c>
      <c r="D62" s="103">
        <f>$H$50/5</f>
        <v>222.7923019</v>
      </c>
      <c r="E62" s="103">
        <f>IF($H$6,IF($J$2="Lightning",$H$53/$H$7,0),0)+IF(J2="Lightning",I48,0)+IF(F21,C66,0)+IF(F22,C67,0)+IF(F9,IF(H6,C69,0),0)+IF(F24,C70,0)</f>
        <v>173.7260788</v>
      </c>
      <c r="F62" s="103">
        <f>IF(J4="Magma",I56,0)+IF($J$4="Searing",I55,0)+IF($J$4="Nova",I57,0)+B76+B77</f>
        <v>0</v>
      </c>
      <c r="G62" s="103">
        <f>C62+D62+E62+F62</f>
        <v>1555.328559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1561.333874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1032.853535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107.302521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  <dataValidation type="list" allowBlank="1" showErrorMessage="1" sqref="F26">
      <formula1>"0,1,2"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2">
        <f>'Main(automatic)'!B2</f>
        <v>236</v>
      </c>
      <c r="C2" s="10" t="s">
        <v>10</v>
      </c>
      <c r="D2" s="11">
        <f>'Main(automatic)'!D2</f>
        <v>5</v>
      </c>
      <c r="E2" s="10" t="s">
        <v>11</v>
      </c>
      <c r="F2" s="11">
        <f>'Main(automatic)'!F2</f>
        <v>242</v>
      </c>
      <c r="G2" s="4" t="s">
        <v>12</v>
      </c>
      <c r="H2" s="9">
        <f>'Main(automatic)'!H2</f>
        <v>90</v>
      </c>
      <c r="I2" s="12" t="s">
        <v>13</v>
      </c>
      <c r="J2" s="13" t="str">
        <f>'Main(automatic)'!J2</f>
        <v>Lightning</v>
      </c>
      <c r="K2" s="4" t="s">
        <v>14</v>
      </c>
      <c r="L2" s="14">
        <f>'Main(automatic)'!L2</f>
        <v>2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606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0.4989433515</v>
      </c>
      <c r="T2" s="8" t="s">
        <v>18</v>
      </c>
      <c r="U2" s="18">
        <f>D4*0.45</f>
        <v>0</v>
      </c>
    </row>
    <row r="3">
      <c r="A3" s="8" t="s">
        <v>19</v>
      </c>
      <c r="B3" s="142">
        <f>'Main(automatic)'!B3</f>
        <v>198</v>
      </c>
      <c r="C3" s="10" t="s">
        <v>20</v>
      </c>
      <c r="D3" s="11">
        <f>'Main(automatic)'!D3</f>
        <v>5</v>
      </c>
      <c r="E3" s="10" t="s">
        <v>21</v>
      </c>
      <c r="F3" s="11">
        <f>'Main(automatic)'!F3</f>
        <v>366</v>
      </c>
      <c r="G3" s="4" t="s">
        <v>22</v>
      </c>
      <c r="H3" s="9">
        <f>'Main(automatic)'!H3</f>
        <v>63</v>
      </c>
      <c r="I3" s="12" t="s">
        <v>23</v>
      </c>
      <c r="J3" s="13" t="str">
        <f>'Main(automatic)'!J3</f>
        <v>Windfury</v>
      </c>
      <c r="K3" s="4" t="s">
        <v>24</v>
      </c>
      <c r="L3" s="19">
        <f>'Main(automatic)'!L3</f>
        <v>2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2077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0.557559755</v>
      </c>
      <c r="T3" s="8" t="s">
        <v>27</v>
      </c>
      <c r="U3" s="21">
        <v>0.35</v>
      </c>
    </row>
    <row r="4">
      <c r="A4" s="8" t="s">
        <v>28</v>
      </c>
      <c r="B4" s="142">
        <f>'Main(automatic)'!B4</f>
        <v>195</v>
      </c>
      <c r="C4" s="10" t="s">
        <v>18</v>
      </c>
      <c r="D4" s="11">
        <f>'Main(automatic)'!D4</f>
        <v>0</v>
      </c>
      <c r="E4" s="10" t="s">
        <v>29</v>
      </c>
      <c r="F4" s="11">
        <f>'Main(automatic)'!F4</f>
        <v>3.6</v>
      </c>
      <c r="G4" s="4" t="s">
        <v>30</v>
      </c>
      <c r="H4" s="9">
        <f>'Main(automatic)'!H4</f>
        <v>1</v>
      </c>
      <c r="I4" s="8" t="s">
        <v>31</v>
      </c>
      <c r="J4" s="22" t="str">
        <f>'Main(automatic)'!J4</f>
        <v>None</v>
      </c>
      <c r="K4" s="4" t="s">
        <v>32</v>
      </c>
      <c r="L4" s="23">
        <f>'Main(automatic)'!L4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33">
        <f>'Main(automatic)'!B5+0.01</f>
        <v>0.17</v>
      </c>
      <c r="C5" s="10" t="s">
        <v>37</v>
      </c>
      <c r="D5" s="11">
        <f>'Main(automatic)'!D5</f>
        <v>3</v>
      </c>
      <c r="E5" s="10" t="s">
        <v>38</v>
      </c>
      <c r="F5" s="11" t="b">
        <f>'Main(automatic)'!F5</f>
        <v>0</v>
      </c>
      <c r="G5" s="12" t="s">
        <v>39</v>
      </c>
      <c r="H5" s="9" t="b">
        <f>'Main(automatic)'!H5</f>
        <v>1</v>
      </c>
      <c r="I5" s="8" t="s">
        <v>40</v>
      </c>
      <c r="J5" s="9" t="b">
        <f>'Main(automatic)'!J5</f>
        <v>0</v>
      </c>
      <c r="K5" s="4" t="s">
        <v>41</v>
      </c>
      <c r="L5" s="9" t="b">
        <f>'Main(automatic)'!L5</f>
        <v>1</v>
      </c>
      <c r="M5" s="8" t="s">
        <v>36</v>
      </c>
      <c r="N5" s="143">
        <f>$N$4/2000+($D$3/100)+IF($L$6,0.02,0)+IF(J14,0.03,0)+B5+0.017+(0.0004*($B$8-300))</f>
        <v>0.5268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33">
        <f>'Main(automatic)'!B6</f>
        <v>0.04</v>
      </c>
      <c r="C6" s="10" t="s">
        <v>45</v>
      </c>
      <c r="D6" s="11">
        <f>'Main(automatic)'!D6</f>
        <v>5</v>
      </c>
      <c r="E6" s="10" t="s">
        <v>46</v>
      </c>
      <c r="F6" s="11" t="b">
        <f>'Main(automatic)'!F6</f>
        <v>0</v>
      </c>
      <c r="G6" s="10" t="s">
        <v>47</v>
      </c>
      <c r="H6" s="11" t="b">
        <f>'Main(automatic)'!H6</f>
        <v>1</v>
      </c>
      <c r="I6" s="4" t="s">
        <v>48</v>
      </c>
      <c r="J6" s="9" t="b">
        <f>'Main(automatic)'!J6</f>
        <v>1</v>
      </c>
      <c r="K6" s="12" t="s">
        <v>49</v>
      </c>
      <c r="L6" s="9" t="b">
        <f>'Main(automatic)'!L6</f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25">
        <f>'Main(automatic)'!B7</f>
        <v>0.082644412</v>
      </c>
      <c r="C7" s="10" t="s">
        <v>51</v>
      </c>
      <c r="D7" s="11">
        <f>'Main(automatic)'!D7</f>
        <v>2</v>
      </c>
      <c r="E7" s="10" t="s">
        <v>53</v>
      </c>
      <c r="F7" s="11" t="b">
        <f>'Main(automatic)'!F7</f>
        <v>0</v>
      </c>
      <c r="G7" s="12" t="s">
        <v>54</v>
      </c>
      <c r="H7" s="9">
        <f>'Main(automatic)'!H7</f>
        <v>4</v>
      </c>
      <c r="I7" s="4" t="s">
        <v>55</v>
      </c>
      <c r="J7" s="9" t="b">
        <f>'Main(automatic)'!J7</f>
        <v>0</v>
      </c>
      <c r="K7" s="12" t="s">
        <v>56</v>
      </c>
      <c r="L7" s="9" t="b">
        <f>'Main(automatic)'!L7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0.3541865067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0.0833*D5*NOT(F20)</f>
        <v>0.2499</v>
      </c>
    </row>
    <row r="8">
      <c r="A8" s="8" t="s">
        <v>58</v>
      </c>
      <c r="B8" s="142">
        <f>'Main(automatic)'!B8</f>
        <v>312</v>
      </c>
      <c r="C8" s="8" t="s">
        <v>59</v>
      </c>
      <c r="D8" s="11">
        <f>'Main(automatic)'!D8</f>
        <v>5</v>
      </c>
      <c r="E8" s="8" t="s">
        <v>60</v>
      </c>
      <c r="F8" s="11" t="b">
        <f>'Main(automatic)'!F8</f>
        <v>0</v>
      </c>
      <c r="G8" s="12" t="s">
        <v>61</v>
      </c>
      <c r="H8" s="9">
        <f>'Main(automatic)'!H8</f>
        <v>4211</v>
      </c>
      <c r="I8" s="4" t="s">
        <v>62</v>
      </c>
      <c r="J8" s="9" t="b">
        <f>'Main(automatic)'!J8</f>
        <v>1</v>
      </c>
      <c r="K8" s="4" t="s">
        <v>63</v>
      </c>
      <c r="L8" s="9" t="b">
        <f>'Main(automatic)'!L8</f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0.0502</v>
      </c>
      <c r="T8" s="8" t="s">
        <v>59</v>
      </c>
      <c r="U8" s="18">
        <f>0.02*D8</f>
        <v>0.1</v>
      </c>
    </row>
    <row r="9">
      <c r="A9" s="8" t="s">
        <v>66</v>
      </c>
      <c r="B9" s="144">
        <f>'Main(automatic)'!B9</f>
        <v>400</v>
      </c>
      <c r="C9" s="10" t="s">
        <v>67</v>
      </c>
      <c r="D9" s="11">
        <f>'Main(automatic)'!D9</f>
        <v>5</v>
      </c>
      <c r="E9" s="8" t="s">
        <v>68</v>
      </c>
      <c r="F9" s="11" t="b">
        <f>'Main(automatic)'!F9</f>
        <v>0</v>
      </c>
      <c r="G9" s="12" t="s">
        <v>69</v>
      </c>
      <c r="H9" s="9" t="b">
        <f>'Main(automatic)'!H9</f>
        <v>1</v>
      </c>
      <c r="I9" s="4" t="s">
        <v>70</v>
      </c>
      <c r="J9" s="9" t="b">
        <f>'Main(automatic)'!J9</f>
        <v>1</v>
      </c>
      <c r="K9" s="4" t="s">
        <v>71</v>
      </c>
      <c r="L9" s="9" t="b">
        <f>'Main(automatic)'!L9</f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2">
        <f>'Main(automatic)'!B10</f>
        <v>106</v>
      </c>
      <c r="C10" s="10" t="s">
        <v>76</v>
      </c>
      <c r="D10" s="11">
        <f>'Main(automatic)'!D10</f>
        <v>0</v>
      </c>
      <c r="E10" s="10" t="s">
        <v>77</v>
      </c>
      <c r="F10" s="11" t="b">
        <f>'Main(automatic)'!F11</f>
        <v>0</v>
      </c>
      <c r="G10" s="12" t="s">
        <v>78</v>
      </c>
      <c r="H10" s="9" t="b">
        <f>'Main(automatic)'!H10</f>
        <v>1</v>
      </c>
      <c r="I10" s="4" t="s">
        <v>79</v>
      </c>
      <c r="J10" s="9" t="b">
        <f>'Main(automatic)'!J10</f>
        <v>1</v>
      </c>
      <c r="K10" s="12" t="s">
        <v>80</v>
      </c>
      <c r="L10" s="9" t="b">
        <f>'Main(automatic)'!L10</f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0.4968</v>
      </c>
    </row>
    <row r="11">
      <c r="A11" s="8" t="s">
        <v>72</v>
      </c>
      <c r="B11" s="29">
        <f>'Main(automatic)'!B11</f>
        <v>0</v>
      </c>
      <c r="C11" s="10" t="s">
        <v>83</v>
      </c>
      <c r="D11" s="11">
        <f>'Main(automatic)'!D11</f>
        <v>3</v>
      </c>
      <c r="E11" s="10" t="s">
        <v>84</v>
      </c>
      <c r="F11" s="11" t="b">
        <f>'Main(automatic)'!F12</f>
        <v>0</v>
      </c>
      <c r="G11" s="12" t="s">
        <v>85</v>
      </c>
      <c r="H11" s="9" t="b">
        <f>'Main(automatic)'!H11</f>
        <v>1</v>
      </c>
      <c r="I11" s="4" t="s">
        <v>86</v>
      </c>
      <c r="J11" s="9" t="b">
        <f>'Main(automatic)'!J11</f>
        <v>1</v>
      </c>
      <c r="K11" s="12" t="s">
        <v>87</v>
      </c>
      <c r="L11" s="9" t="b">
        <f>'Main(automatic)'!L11</f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2">
        <f>'Main(automatic)'!B12</f>
        <v>4</v>
      </c>
      <c r="C12" s="10" t="s">
        <v>91</v>
      </c>
      <c r="D12" s="11">
        <f>'Main(automatic)'!D12</f>
        <v>3</v>
      </c>
      <c r="E12" s="10" t="s">
        <v>92</v>
      </c>
      <c r="F12" s="11" t="b">
        <f>'Main(automatic)'!F13</f>
        <v>1</v>
      </c>
      <c r="G12" s="12" t="s">
        <v>93</v>
      </c>
      <c r="H12" s="9" t="b">
        <f>'Main(automatic)'!H12</f>
        <v>1</v>
      </c>
      <c r="I12" s="12" t="s">
        <v>94</v>
      </c>
      <c r="J12" s="9" t="b">
        <f>'Main(automatic)'!J12</f>
        <v>1</v>
      </c>
      <c r="K12" s="12" t="s">
        <v>95</v>
      </c>
      <c r="L12" s="9" t="b">
        <f>'Main(automatic)'!L12</f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25">
        <f>'Main(automatic)'!B13</f>
        <v>0</v>
      </c>
      <c r="C13" s="10" t="s">
        <v>98</v>
      </c>
      <c r="D13" s="11">
        <f>'Main(automatic)'!D13</f>
        <v>3</v>
      </c>
      <c r="E13" s="10" t="s">
        <v>99</v>
      </c>
      <c r="F13" s="11" t="b">
        <f>'Main(automatic)'!F14</f>
        <v>1</v>
      </c>
      <c r="G13" s="12" t="s">
        <v>100</v>
      </c>
      <c r="H13" s="9" t="b">
        <f>'Main(automatic)'!H13</f>
        <v>0</v>
      </c>
      <c r="I13" s="12" t="s">
        <v>101</v>
      </c>
      <c r="J13" s="9" t="b">
        <f>'Main(automatic)'!J13</f>
        <v>1</v>
      </c>
      <c r="K13" s="12" t="s">
        <v>102</v>
      </c>
      <c r="L13" s="9" t="b">
        <f>'Main(automatic)'!L13</f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29">
        <f>'Main(automatic)'!B14</f>
        <v>0</v>
      </c>
      <c r="C14" s="10" t="s">
        <v>106</v>
      </c>
      <c r="D14" s="11">
        <f>'Main(automatic)'!D14</f>
        <v>2</v>
      </c>
      <c r="E14" s="34" t="s">
        <v>107</v>
      </c>
      <c r="F14" s="11" t="b">
        <f>'Main(automatic)'!F15</f>
        <v>1</v>
      </c>
      <c r="G14" s="12" t="s">
        <v>108</v>
      </c>
      <c r="H14" s="9" t="b">
        <f>'Main(automatic)'!H14</f>
        <v>0</v>
      </c>
      <c r="I14" s="12" t="s">
        <v>109</v>
      </c>
      <c r="J14" s="9" t="b">
        <f>'Main(automatic)'!J14</f>
        <v>1</v>
      </c>
      <c r="K14" s="35" t="s">
        <v>110</v>
      </c>
      <c r="L14" s="9" t="b">
        <f>'Main(automatic)'!L14</f>
        <v>1</v>
      </c>
      <c r="M14" s="8" t="s">
        <v>111</v>
      </c>
      <c r="N14" s="28">
        <f>N13+(L2*2250)+(L3*1350)+(L4*1550)+(H2/2*N12)+((N19*59/60)*H2)+IF(J2="Water",130*(H2/H7),0)</f>
        <v>16699.34009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29">
        <f>'Main(automatic)'!B15</f>
        <v>0</v>
      </c>
      <c r="C15" s="10" t="s">
        <v>114</v>
      </c>
      <c r="D15" s="11">
        <f>'Main(automatic)'!D15</f>
        <v>1</v>
      </c>
      <c r="E15" s="8" t="s">
        <v>115</v>
      </c>
      <c r="F15" s="11" t="b">
        <f>'Main(automatic)'!F16</f>
        <v>0</v>
      </c>
      <c r="G15" s="4" t="s">
        <v>116</v>
      </c>
      <c r="H15" s="9">
        <f>'Main(automatic)'!H15</f>
        <v>15</v>
      </c>
      <c r="I15" s="12" t="s">
        <v>117</v>
      </c>
      <c r="J15" s="9" t="b">
        <f>'Main(automatic)'!J15</f>
        <v>0</v>
      </c>
      <c r="K15" s="35" t="s">
        <v>118</v>
      </c>
      <c r="L15" s="9" t="b">
        <f>'Main(automatic)'!L15</f>
        <v>0</v>
      </c>
      <c r="M15" s="8" t="s">
        <v>113</v>
      </c>
      <c r="N15" s="15">
        <f>B15+IF(L16,150,0)+IF(L17,35,0)+IF(L18,55,0)+IF(L20,35,0)+IF(L21,15,0)+IF(L22,22,0)+IF(F25,132*P22,0)+IF($J$25,(60*(15/MAX(H2,15))))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29">
        <f>'Main(automatic)'!B16</f>
        <v>0</v>
      </c>
      <c r="C16" s="10" t="s">
        <v>121</v>
      </c>
      <c r="D16" s="11">
        <f>'Main(automatic)'!D16</f>
        <v>0</v>
      </c>
      <c r="E16" s="8" t="s">
        <v>122</v>
      </c>
      <c r="F16" s="11" t="b">
        <f>'Main(automatic)'!F17</f>
        <v>0</v>
      </c>
      <c r="G16" s="12" t="s">
        <v>123</v>
      </c>
      <c r="H16" s="9">
        <f>'Main(automatic)'!H16</f>
        <v>185</v>
      </c>
      <c r="I16" s="34" t="s">
        <v>124</v>
      </c>
      <c r="J16" s="9" t="b">
        <f>'Main(automatic)'!J16</f>
        <v>0</v>
      </c>
      <c r="K16" s="4" t="s">
        <v>125</v>
      </c>
      <c r="L16" s="9" t="b">
        <f>'Main(automatic)'!L16</f>
        <v>0</v>
      </c>
      <c r="M16" s="8" t="s">
        <v>120</v>
      </c>
      <c r="N16" s="15">
        <f>B16+IF(L16,150,0)+IF(L17,35,0)+IF(L19,40,0)+IF(L20,35,0)+IF(L21,15,0)+IF(L22,22,0)+IF(F25,132*P22,0)+IF($J$25,(60*(15/MAX(H2,15))))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0.9849340452</v>
      </c>
    </row>
    <row r="17">
      <c r="A17" s="8" t="s">
        <v>127</v>
      </c>
      <c r="B17" s="25">
        <f>'Main(automatic)'!B17</f>
        <v>0</v>
      </c>
      <c r="C17" s="8" t="s">
        <v>128</v>
      </c>
      <c r="D17" s="11">
        <f>'Main(automatic)'!D17</f>
        <v>0</v>
      </c>
      <c r="E17" s="10" t="s">
        <v>129</v>
      </c>
      <c r="F17" s="11" t="b">
        <f>'Main(automatic)'!F18</f>
        <v>0</v>
      </c>
      <c r="G17" s="4" t="s">
        <v>130</v>
      </c>
      <c r="H17" s="9" t="b">
        <f>'Main(automatic)'!H17</f>
        <v>1</v>
      </c>
      <c r="I17" s="12" t="s">
        <v>131</v>
      </c>
      <c r="J17" s="9" t="b">
        <f>'Main(automatic)'!J17</f>
        <v>1</v>
      </c>
      <c r="K17" s="4" t="s">
        <v>132</v>
      </c>
      <c r="L17" s="9" t="b">
        <f>'Main(automatic)'!L17</f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0.9533594942</v>
      </c>
    </row>
    <row r="18">
      <c r="A18" s="8" t="s">
        <v>134</v>
      </c>
      <c r="B18" s="25">
        <f>'Main(automatic)'!B18</f>
        <v>0</v>
      </c>
      <c r="C18" s="10" t="s">
        <v>43</v>
      </c>
      <c r="D18" s="11">
        <f>'Main(automatic)'!D18</f>
        <v>0</v>
      </c>
      <c r="E18" s="10" t="s">
        <v>135</v>
      </c>
      <c r="F18" s="11" t="b">
        <f>'Main(automatic)'!F19</f>
        <v>0</v>
      </c>
      <c r="G18" s="4" t="s">
        <v>136</v>
      </c>
      <c r="H18" s="9" t="b">
        <f>'Main(automatic)'!H18</f>
        <v>1</v>
      </c>
      <c r="I18" s="4" t="s">
        <v>137</v>
      </c>
      <c r="J18" s="9" t="b">
        <f>'Main(automatic)'!J18</f>
        <v>1</v>
      </c>
      <c r="K18" s="4" t="s">
        <v>138</v>
      </c>
      <c r="L18" s="9" t="b">
        <f>'Main(automatic)'!L18</f>
        <v>1</v>
      </c>
      <c r="M18" s="8" t="s">
        <v>134</v>
      </c>
      <c r="N18" s="36">
        <f>$P$16*MIN(B18+(D11*1%)+IF(J20,1%,0)+(D11*0.03),16%)+(1-$P$16)*MIN(B18+(D11*1%)+IF(J20,1%,0),16%)</f>
        <v>0.1286440641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0.8631894089</v>
      </c>
    </row>
    <row r="19">
      <c r="A19" s="8" t="s">
        <v>140</v>
      </c>
      <c r="B19" s="9" t="str">
        <f>'Main(automatic)'!B19</f>
        <v>Tauren</v>
      </c>
      <c r="E19" s="8" t="s">
        <v>142</v>
      </c>
      <c r="F19" s="11" t="b">
        <f>'Main(automatic)'!F20</f>
        <v>1</v>
      </c>
      <c r="G19" s="4" t="s">
        <v>143</v>
      </c>
      <c r="H19" s="9" t="b">
        <f>'Main(automatic)'!H19</f>
        <v>1</v>
      </c>
      <c r="I19" s="4" t="s">
        <v>144</v>
      </c>
      <c r="J19" s="9" t="b">
        <f>'Main(automatic)'!J19</f>
        <v>1</v>
      </c>
      <c r="K19" s="4" t="s">
        <v>145</v>
      </c>
      <c r="L19" s="9" t="b">
        <f>'Main(automatic)'!L19</f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23.98350384</v>
      </c>
      <c r="O19" s="10" t="s">
        <v>147</v>
      </c>
      <c r="P19" s="15">
        <f>IF(J3="Windfury",((60/C43)+(60/C49)+(60/C46))*0.2*(1-SUM($P$3,$P$2)),0)</f>
        <v>6.957882073</v>
      </c>
    </row>
    <row r="20">
      <c r="A20" s="4" t="s">
        <v>287</v>
      </c>
      <c r="B20" s="9" t="b">
        <f>'Main(automatic)'!B20</f>
        <v>1</v>
      </c>
      <c r="E20" s="34" t="s">
        <v>148</v>
      </c>
      <c r="F20" s="11" t="b">
        <f>'Main(automatic)'!F21</f>
        <v>0</v>
      </c>
      <c r="G20" s="4" t="s">
        <v>149</v>
      </c>
      <c r="H20" s="9" t="b">
        <f>'Main(automatic)'!H20</f>
        <v>0</v>
      </c>
      <c r="I20" s="4" t="s">
        <v>150</v>
      </c>
      <c r="J20" s="9" t="b">
        <f>'Main(automatic)'!J20</f>
        <v>1</v>
      </c>
      <c r="K20" s="4" t="s">
        <v>151</v>
      </c>
      <c r="L20" s="9" t="b">
        <f>'Main(automatic)'!L20</f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f>'Main(automatic)'!B21</f>
        <v>0</v>
      </c>
      <c r="E21" s="10" t="s">
        <v>153</v>
      </c>
      <c r="F21" s="11" t="b">
        <f>'Main(automatic)'!F22</f>
        <v>0</v>
      </c>
      <c r="G21" s="12" t="s">
        <v>154</v>
      </c>
      <c r="H21" s="9" t="b">
        <f>'Main(automatic)'!H21</f>
        <v>1</v>
      </c>
      <c r="I21" s="4" t="s">
        <v>155</v>
      </c>
      <c r="J21" s="9" t="b">
        <f>'Main(automatic)'!J21</f>
        <v>1</v>
      </c>
      <c r="K21" s="4" t="s">
        <v>156</v>
      </c>
      <c r="L21" s="9" t="b">
        <f>'Main(automatic)'!L21</f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989.7608737</v>
      </c>
      <c r="D22" s="40"/>
      <c r="E22" s="10" t="s">
        <v>159</v>
      </c>
      <c r="F22" s="11" t="b">
        <f>'Main(automatic)'!F23</f>
        <v>0</v>
      </c>
      <c r="I22" s="4" t="s">
        <v>160</v>
      </c>
      <c r="J22" s="9" t="b">
        <f>'Main(automatic)'!J22</f>
        <v>1</v>
      </c>
      <c r="K22" s="10" t="s">
        <v>161</v>
      </c>
      <c r="L22" s="9" t="b">
        <f>'Main(automatic)'!L22</f>
        <v>0</v>
      </c>
      <c r="O22" s="8" t="s">
        <v>162</v>
      </c>
      <c r="P22" s="36">
        <f>1-EXP(-(0.05/(60/$H$72))*10)</f>
        <v>0.3560414966</v>
      </c>
      <c r="V22" s="42"/>
      <c r="W22" s="42"/>
    </row>
    <row r="23">
      <c r="A23" s="40" t="s">
        <v>163</v>
      </c>
      <c r="B23" s="43">
        <f>$G$61</f>
        <v>1529.763942</v>
      </c>
      <c r="E23" s="10" t="s">
        <v>164</v>
      </c>
      <c r="F23" s="11" t="b">
        <f>'Main(automatic)'!F24</f>
        <v>0</v>
      </c>
      <c r="I23" s="12" t="s">
        <v>74</v>
      </c>
      <c r="J23" s="9" t="b">
        <f>'Main(automatic)'!J23</f>
        <v>1</v>
      </c>
      <c r="O23" s="8" t="s">
        <v>166</v>
      </c>
      <c r="P23" s="36">
        <f>1-EXP(-(0.2/(60/$H$72))*6)</f>
        <v>0.6522565826</v>
      </c>
      <c r="V23" s="42"/>
      <c r="W23" s="42"/>
    </row>
    <row r="24">
      <c r="E24" s="8" t="s">
        <v>167</v>
      </c>
      <c r="F24" s="11" t="b">
        <f>'Main(automatic)'!F25</f>
        <v>0</v>
      </c>
      <c r="I24" s="12" t="s">
        <v>168</v>
      </c>
      <c r="J24" s="9" t="b">
        <f>'Main(automatic)'!J24</f>
        <v>0</v>
      </c>
      <c r="O24" s="8" t="s">
        <v>169</v>
      </c>
      <c r="P24" s="44">
        <f>1-EXP(-((E67*(1-SUM(P2:P3))/C43)+IF(J3="Windfury",(E67*(1-SUM(P2:P3))/C44),0)+(E67*(1-SUM(P2:P3))/C46)+(E67*(1-SUM(P2:P3))/C49))*20)</f>
        <v>0.616859218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'Main(automatic)'!F26</f>
        <v>0</v>
      </c>
      <c r="I25" s="8" t="s">
        <v>174</v>
      </c>
      <c r="J25" s="9" t="b">
        <f>'Main(automatic)'!J25</f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0.7147144792</v>
      </c>
      <c r="C26" s="18">
        <f>1-B26</f>
        <v>0.2852855208</v>
      </c>
      <c r="E26" s="8" t="s">
        <v>179</v>
      </c>
      <c r="F26" s="11">
        <f>'Main(automatic)'!F27</f>
        <v>0</v>
      </c>
      <c r="I26" s="10" t="s">
        <v>180</v>
      </c>
      <c r="J26" s="9" t="b">
        <f>'Main(automatic)'!J26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'Main(automatic)'!F10</f>
        <v>0</v>
      </c>
      <c r="I27" s="4" t="s">
        <v>183</v>
      </c>
      <c r="J27" s="9" t="b">
        <f>'Main(automatic)'!J27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I28" s="4" t="s">
        <v>186</v>
      </c>
      <c r="J28" s="9" t="b">
        <f>'Main(automatic)'!J28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'Main(automatic)'!J29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2.65842259</v>
      </c>
      <c r="D43" s="7"/>
      <c r="E43" s="73">
        <f>14/F4</f>
        <v>3.888888889</v>
      </c>
      <c r="F43" s="74">
        <f>($F$2+($N$3/E43))*(1+U8)*IF($H$13,1.04,1)*(1-$P$12)+IF($H14,8,0)</f>
        <v>836.0609992</v>
      </c>
      <c r="G43" s="74">
        <f>($F$3+($N$3/E43))*(1+U8)*IF($H$13,1.04,1)*(1-$P$12)+IF($H14,8,0)</f>
        <v>969.6436203</v>
      </c>
      <c r="H43" s="74">
        <f>((AVERAGE(F43,G43)*$P$5*$P$7)+(AVERAGE(F43,G43)*$P$10*2)+(AVERAGE(F43,G43)*$P$8)+((AVERAGE(F43,G43)-$P$6)*$P$4))</f>
        <v>1263.812663</v>
      </c>
      <c r="I43" s="75">
        <f>H43/C43</f>
        <v>475.3994598</v>
      </c>
      <c r="J43" s="76">
        <f>I43*(IF($J$3="Rockbiter",1+U3,1)+IF(AND($J$3="Rockbiter",$F$11),U3*U4,0))*IF($J$6,0.75,1)*IF($J$7,0.8,1)*IF($F$17,1.02,1)*IF($F$18,0.98,1)*(1-U7)*(1+U5)</f>
        <v>267.4478511</v>
      </c>
      <c r="K43" s="18">
        <f t="shared" ref="K43:K52" si="4">I43/$B$23</f>
        <v>0.3107665481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4.311656864</v>
      </c>
      <c r="D44" s="7"/>
      <c r="E44" s="73"/>
      <c r="F44" s="74">
        <f>($F$2+(($N$3+323)/$E$43))*(1+U8)*IF($H$13,1.04,1)*(1-$P$12)+IF($H14,8,0)</f>
        <v>925.5367318</v>
      </c>
      <c r="G44" s="74">
        <f>($F$3+(($N$3+323)/$E$43))*(1+U8)*IF($H$13,1.04,1)*(1-$P$12)+IF($H14,8,0)</f>
        <v>1059.119353</v>
      </c>
      <c r="H44" s="74">
        <f>((AVERAGE(F44,G44)*$P$5*$P$7)+(AVERAGE(F44,G44)*$P$10*2)+(AVERAGE(F44,G44)*$P$8)+((AVERAGE(F44,G44)-$P$6)*$P$4))*IF(J3="Windfury",1,0)</f>
        <v>1389.060794</v>
      </c>
      <c r="I44" s="75">
        <f>IF($J$3="Windfury",(H44/C44),0)</f>
        <v>322.1640398</v>
      </c>
      <c r="J44" s="76">
        <f>I44*(IF($J$3="Rockbiter",1+U3,1)+IF(AND($J$3="Rockbiter",$F$11),U3*U4,0))*IF($J$6,0.7,1)*IF($J$7,0.8,1)*IF($F$17,1.02,1)*IF($F$18,0.98,1)*(1-U7)*(1+U5)</f>
        <v>169.1586724</v>
      </c>
      <c r="K44" s="18">
        <f t="shared" si="4"/>
        <v>0.2105972241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2.65842259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149.1688</v>
      </c>
      <c r="G45" s="74">
        <f>(29.5*$F$4+(D45*$N$16))*(1+IF(J3="Flametongue",0.1*$D$12,0))*(1+($D$14*0.05))*(1+($D$17*0.05))*IF($H$18,1.1,1)*IF($H$19,1.15,1)*IF($H$20,1+(0.1*H67),1)*IF(F27,1.45,1)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115.4380391</v>
      </c>
      <c r="I45" s="75" t="b">
        <f>IF($J$3="Flametongue",(H45/C45)+(H45/C46)+(H45/C49)+IF(F23,((H45/C45)+(H45/C46)+(H45/C49))*K67,0))</f>
        <v>0</v>
      </c>
      <c r="J45" s="76">
        <f>I45*(IF($J$3="Rockbiter",1+U3,1)+IF(AND($J$3="Rockbiter",$F$11),U3*U4,0))*IF($J$6,0.7,1)*IF($J$7,0.8,1)*IF($F$17,1.02,1)*IF($F$18,0.98,1)*(1-U7)*(1+U5)</f>
        <v>0</v>
      </c>
      <c r="K45" s="18">
        <f t="shared" si="4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4">
        <f>F43*0.6*(1+U8)</f>
        <v>551.8002595</v>
      </c>
      <c r="G46" s="74">
        <f>G43*0.6*(1+U8)</f>
        <v>639.9647894</v>
      </c>
      <c r="H46" s="79">
        <f>(AVERAGE(F46,G46)*($P$10+$U$8)*(2*(1+$D$17*0.25))+(AVERAGE(F46,G46)*(1-$P$2-$P$3-$P$4-($P$10+U8)))+((AVERAGE(F46,G46)-$P$6)*$P$4))</f>
        <v>919.9234412</v>
      </c>
      <c r="I46" s="75">
        <f t="shared" ref="I46:I47" si="6">H46/C46</f>
        <v>102.2137157</v>
      </c>
      <c r="J46" s="76">
        <f>I46*(IF($J$3="Rockbiter",1+U3,1)+IF(AND($J$3="Rockbiter",$F$11),U3*U4,0))*IF($J$6,0.75,1)*IF($J$7,0.8,1)*IF($F$17,1.02,1)*IF($F$18,0.98,1)*(1-U7)*(1+U5)</f>
        <v>57.5028811</v>
      </c>
      <c r="K46" s="18">
        <f t="shared" si="4"/>
        <v>0.066816659</v>
      </c>
      <c r="L46" s="80">
        <f>IF($J$2="Lightning",(182*(1-J26*0.2)),(182*(1-J26*0.2))-(150+($N$3/10)))-($P$17*0.6*182)</f>
        <v>77.89314323</v>
      </c>
      <c r="M46" s="74">
        <f>L46/C46</f>
        <v>8.654793692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4">
        <f>(($F$2+($N$3/E43))*(0.2)+($D$47*$N$15))*(1+U8)*IF($H$20,1+(0.1*H67),1)*(1+(D17*0.05))*IF(J23,1+U9,1)</f>
        <v>217.8923214</v>
      </c>
      <c r="G47" s="74">
        <f>(($F$3+($N$3/E43))*(0.2)+($D$47*$N$15))*(1+U8)*IF($H$20,1+(0.1*H67),1)*(1+(D17*0.05))*IF(J23,1+U9,1)</f>
        <v>251.9923214</v>
      </c>
      <c r="H47" s="79">
        <f>(AVERAGE(F47,G47)*($P$10+$U$8)*(1.5+($D$17*0.25))+(AVERAGE(F47,G47)*(1-$P$2-$P$3-$P$4-($P$10+U8)))+((AVERAGE(F47,G47)-$P$6)*$P$4))*IF(J23,1+U9,1)</f>
        <v>365.7464589</v>
      </c>
      <c r="I47" s="75">
        <f t="shared" si="6"/>
        <v>40.63849543</v>
      </c>
      <c r="J47" s="76">
        <f>I47*(IF($J$3="Rockbiter",1+U3,1)+IF(AND($J$3="Rockbiter",$F$11),U3*U4,0))*IF($J$6,0.75,1)*IF($J$7,0.8,1)*IF($F$17,1.02,1)*IF($F$18,0.98,1)*(1-U7)*(1+U5)</f>
        <v>22.86220157</v>
      </c>
      <c r="K47" s="18">
        <f t="shared" si="4"/>
        <v>0.02656520676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1108.598203</v>
      </c>
      <c r="G48" s="74">
        <f>IF($J$2="Lightning",(198+(D48*N15)+(E48*$N$3))*IF($J$23,1+U9,1)*IF($F$12,1.15,1)*(1+(D17*0.05))*(1+(D9*0.01))*IF($H$20,1+(0.1*H67),1)*IF(J26,1.15,1),0)</f>
        <v>1108.598203</v>
      </c>
      <c r="H48" s="79">
        <f>G48*((1-$P$14*0.0025)*$P$13)*(1-P2-P3)</f>
        <v>986.8519485</v>
      </c>
      <c r="I48" s="75">
        <f>IF(F15,((H48/C48)+(H48/C43)*0.15+(H48/C46)*0.15+(H48/C49)*0.15+IF(J3="Windfury",H48/C44,0)*0.15)*(1-P2),(H48/C48)*(1-P2))</f>
        <v>103.838755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77.87906627</v>
      </c>
      <c r="K48" s="18">
        <f t="shared" si="4"/>
        <v>0.0678789401</v>
      </c>
      <c r="L48" s="80">
        <f>IF($J$2="Lightning",(182*(1-J26*0.2)),(182*(1-J26*0.2))-(150+($N$3/10)))-($P$17*0.6*182)</f>
        <v>77.89314323</v>
      </c>
      <c r="M48" s="74">
        <f t="shared" ref="M48:M51" si="7">L48/C48</f>
        <v>8.654793692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928.8637701</v>
      </c>
      <c r="G49" s="74">
        <f>$G$43*1.01*(1+U8)</f>
        <v>1077.274062</v>
      </c>
      <c r="H49" s="79">
        <f>(AVERAGE(F49,G49)*($P$10+$U$8)*2)+(AVERAGE(F49,G49)*(1-$P$2-$P$3-$P$4-($P$10+U8)))+((AVERAGE(F49,G49)-$P$6)*$P$4)</f>
        <v>1548.537793</v>
      </c>
      <c r="I49" s="75">
        <f>H49/C49</f>
        <v>193.5672241</v>
      </c>
      <c r="J49" s="76">
        <f>I49*(IF($J$3="Rockbiter",1+U3,1)+IF(AND($J$3="Rockbiter",$F$11),U3*U4,0))*IF($J$6,0.75,1)*IF($J$7,0.8,1)*IF($F$17,1.02,1)*IF($F$18,0.98,1)*(1-U7)*(1+U5)</f>
        <v>108.8960811</v>
      </c>
      <c r="K49" s="18">
        <f t="shared" si="4"/>
        <v>0.126534048</v>
      </c>
      <c r="L49" s="80">
        <f>(152*(1-J26*0.2))-($P$17*0.6*152)</f>
        <v>65.05361413</v>
      </c>
      <c r="M49" s="74">
        <f t="shared" si="7"/>
        <v>8.131701766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1046.415563</v>
      </c>
      <c r="G50" s="80">
        <f>(520+(E50*$N$3)+(D50*$N$15)+IF(F7,30,0))*(1+(D17*0.05))*(1+(D9*0.01))*IF($J$23,1+U9,1)*IF(F14,1.1,1)*IF(J26,1.15,1)*IF($H$20,1+(0.1*H67),1)</f>
        <v>1086.840563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1099.493368</v>
      </c>
      <c r="I50" s="75">
        <f>H50*2/15</f>
        <v>146.5991157</v>
      </c>
      <c r="J50" s="76">
        <f>I50*(IF($J$3="Rockbiter",1+U3,1)+IF(AND($J$3="Rockbiter",$F$11),U3*U4,0))*IF($J$6,0.75,1)*IF($J$7,0.8,1)*IF($F$17,1.02,1)*IF($F$18,0.98,1)*1.5*(1+U5)</f>
        <v>164.9240052</v>
      </c>
      <c r="K50" s="18">
        <f t="shared" si="4"/>
        <v>0.09583120093</v>
      </c>
      <c r="L50" s="80">
        <f>(450*(1-($D$10*0.02))*(1-J26*0.2))-($P$17*0.6*450)</f>
        <v>192.5929366</v>
      </c>
      <c r="M50" s="74">
        <f t="shared" si="7"/>
        <v>38.51858731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G51" s="80">
        <f>(293+(E51*$N$3)+(D51*$N$16)+IF($F$7,30,0))*(1+D9*0.01)*IF(J3="Flametongue",1+(D12*0.1),1)*(1+($D$14*0.05))*(1+($D$17*0.05))*IF($H$18,1.1,1)*IF($H$19,1.15,1)*IF($H$20,1+(0.1*H67),1)*IF(F14,1.1,1)*IF(J26,1.15,1)</f>
        <v>758.0838775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638.9640782</v>
      </c>
      <c r="I51" s="75">
        <f t="shared" ref="I51:I52" si="9">H51/15</f>
        <v>42.59760521</v>
      </c>
      <c r="J51" s="76">
        <f>I51*(IF($J$3="Rockbiter",1+U3,1)+IF(AND($J$3="Rockbiter",$F$11),U3*U4,0))*IF($J$6,0.75,1)*IF($J$7,0.8,1)*IF($F$17,1.02,1)*IF($F$18,0.98,1)*(1+U5)</f>
        <v>31.94820391</v>
      </c>
      <c r="K51" s="18">
        <f t="shared" si="4"/>
        <v>0.02784586826</v>
      </c>
      <c r="L51" s="80">
        <f>(410*(1-($D$10*0.02))*(1-J26*0.2)-($P$17*0.6*450))</f>
        <v>152.5929366</v>
      </c>
      <c r="M51" s="74">
        <f t="shared" si="7"/>
        <v>30.51858731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79">
        <f>(82+(E52*$N$3)+(D52*$N$16)+IF($F$7,30,0))*(1+D9*0.01)*IF(J3="Flametongue",1+(D12*0.1),1)*(1+($D$14*0.05))*(1+($D$17*0.05))*IF($H$18,1.1,1)*IF($H$19,1.15,1)*IF($H$20,1+(0.1*H67),1)*IF(J26,1.15,1)</f>
        <v>166.7890166</v>
      </c>
      <c r="G52" s="79">
        <f>(82+(E52*$N$3)+(D52*$N$16)+IF($F$7,30,0))*(1+D9*0.01)*IF(J3="Flametongue",1+(D12*0.1),1)*(1+($D$14*0.05))*(1+($D$17*0.05))*IF($H$18,1.1,1)*IF($H$19,1.15,1)*IF($H$20,1+(0.1*H67),1)*IF(J26,1.15,1)</f>
        <v>166.7890166</v>
      </c>
      <c r="H52" s="80">
        <f>(AVERAGE(F52,G52))*MIN(IF($H$3=63,0.83+$N$18,0.96+$N$18-(($H$3-60)*0.01)),0.99)*((1-$P$15*0.0025)*$P$13)*5</f>
        <v>544.8296073</v>
      </c>
      <c r="I52" s="75">
        <f t="shared" si="9"/>
        <v>36.32197382</v>
      </c>
      <c r="J52" s="76">
        <f>I52*(IF($J$3="Rockbiter",1+U3,1)+IF(AND($J$3="Rockbiter",$F$11),U3*U4,0))*IF($J$6,0.75,1)*IF($J$7,0.8,1)*IF($F$17,1.02,1)*IF($F$18,0.98,1)*(1+U5)</f>
        <v>27.24148036</v>
      </c>
      <c r="K52" s="18">
        <f t="shared" si="4"/>
        <v>0.02374351546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I53*(IF($J$3="Rockbiter",1+U3,1)+IF(AND($J$3="Rockbiter",$F$11),U3*U4,0))*IF($J$6,0.75,1)*IF($J$7,0.8,1)*IF($F$17,1.02,1)*IF($F$18,0.98,1)*(1+U5)</f>
        <v>49.81766836</v>
      </c>
      <c r="K53" s="18">
        <f>IF(H6,I53/$B$23,0)</f>
        <v>0.04342078929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1">(AVERAGE(F55,G55))*(($N$17+$U$8)*(1.5+($D$17*0.25)))+(AVERAGE(F55,G55))*((MIN(IF($H$3=63,0.83+$N$18,0.96+$N$18-(($H$3-60)*0.01)),0.99))-($N$17+$U$8))*((1-$P$15*0.0025)*$P$13)</f>
        <v>57.02653108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1"/>
        <v>88.26750906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1"/>
        <v>512.5357611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</f>
        <v>0</v>
      </c>
      <c r="J59" s="75">
        <f>I59*(IF($J$3="Rockbiter",1+U3,1)+IF(AND($J$3="Rockbiter",$F$11),U3*U4,0))*IF($J$6,0.75,1)*IF($J$7,0.8,1)*IF($F$17,1.02,1)*IF($F$18,0.98,1)*(1+U5)</f>
        <v>0</v>
      </c>
      <c r="K59" s="18">
        <f t="shared" si="12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(($H$43/$C$43))+IF($J$3="Flametongue",(H45/C45)+(H45/C46)+(H45/C49)+IF(F23,((H45/C45)+(H45/C46)+(H45/C49))*K67,0),0)+(IF($J$3="Windfury",$H$44*$P$19*2/60,0)+(($H$46+$H$47)/$C$46)+($H$49/$C$49))</f>
        <v>1133.982935</v>
      </c>
      <c r="D61" s="103">
        <f>$H$50*2/15</f>
        <v>146.5991157</v>
      </c>
      <c r="E61" s="103">
        <f>IF($H$6,IF($J$2="Lightning",$H$53/$H$7,0),0)+IF(J2="Lightning",I48,0)+(($H$51+$H$52)/15)+IF(F21,C66,0)+IF(F22,C67,0)+IF(F9,IF(H6,C69,0),0)+IF(F23,C68,0)+IF(F24,C70,0)</f>
        <v>249.1818919</v>
      </c>
      <c r="F61" s="103">
        <f>IF(J4="Magma",I56,0)+IF($J$4="Searing",I55,0)+IF($J$4="Nova",I57,0)+B76+B77</f>
        <v>0</v>
      </c>
      <c r="G61" s="103">
        <f>SUM(C61,D61,E61,F61)</f>
        <v>1529.763942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1535.575404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989.7608737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(($H$43/$C$43))+IF($J$3="Flametongue",(H45/C45)+(H45/C46)+(H45/C49)+IF(F23,((H45/C45)+(H45/C46)+(H45/C49))*K67,0),0)+(IF($J$3="Windfury",$H$44*$P$19*2/60,0)+(($H$46+$H$47)/$C$46)+($H$49/$C$49))</f>
        <v>1133.982935</v>
      </c>
      <c r="D62" s="103">
        <f>$H$50/5</f>
        <v>219.8986736</v>
      </c>
      <c r="E62" s="103">
        <f>IF($H$6,IF($J$2="Lightning",$H$53/$H$7,0),0)+IF(J2="Lightning",I48,0)+IF(F21,C66,0)+IF(F22,C67,0)+IF(F9,IF(H6,C69,0),0)+IF(F24,C70,0)</f>
        <v>170.2623128</v>
      </c>
      <c r="F62" s="103">
        <f>IF(J4="Magma",I56,0)+IF($J$4="Searing",I55,0)+IF($J$4="Nova",I57,0)+B76+B77</f>
        <v>0</v>
      </c>
      <c r="G62" s="103">
        <f>C62+D62+E62+F62</f>
        <v>1524.143921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1529.955383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1013.033192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443.7898578</v>
      </c>
      <c r="C66" s="112">
        <f>(B66*((((60/C43)+(60/C46)+(60/C49)+IF(J3="Windfury",60/C44,0))*1-$P$2)*0.185))/60</f>
        <v>69.23752773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166.0885669</v>
      </c>
      <c r="C67" s="103">
        <f>(B67*((((60/C43)+(60/C46)+(60/C49)+IF(J3="Windfury",60/C44,0))*(1-P2))*0.08633)/60)</f>
        <v>11.46300736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0.4775165906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366.4707977</v>
      </c>
      <c r="C68" s="103">
        <f>((B68/C43)*K67+(B68/C46)*K67+(B68/C49)*K67+IF(J3="Windfury",(B68/C44)*K67,0))*(1-SUM(P2:P3))</f>
        <v>19.92257079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31.41442562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190.9578781</v>
      </c>
      <c r="C70" s="103">
        <f>((B70/C43)*K66+(B70/C46)*K66+(B70/C49)*K66+IF(J3="Windfury",(B70/C44)*K66,0))*(1-SUM(P2:P3))</f>
        <v>10.99175828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36.42627226</v>
      </c>
      <c r="C72" s="88">
        <f>60/C46</f>
        <v>6.666666667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52.81451887</v>
      </c>
      <c r="H72" s="88">
        <f>SUM(A72:F72)*(0.83+$N$18)</f>
        <v>52.81451887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/>
      <c r="G85" s="71"/>
      <c r="H85" s="71"/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103.838755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66.42355781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8">
      <formula1>"0,1,2,3,4,5"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f>'Main(manual)'!B2</f>
        <v>92</v>
      </c>
      <c r="C2" s="10" t="s">
        <v>10</v>
      </c>
      <c r="D2" s="11">
        <f>'Main(manual)'!D2</f>
        <v>5</v>
      </c>
      <c r="E2" s="10" t="s">
        <v>11</v>
      </c>
      <c r="F2" s="11">
        <f>'Main(manual)'!F2</f>
        <v>259</v>
      </c>
      <c r="G2" s="4" t="s">
        <v>12</v>
      </c>
      <c r="H2" s="9">
        <f>'Main(manual)'!H2</f>
        <v>60</v>
      </c>
      <c r="I2" s="12" t="s">
        <v>13</v>
      </c>
      <c r="J2" s="13" t="str">
        <f>'Main(manual)'!J2</f>
        <v>Lightning</v>
      </c>
      <c r="K2" s="4" t="s">
        <v>14</v>
      </c>
      <c r="L2" s="14">
        <f>'Main(manual)'!L2</f>
        <v>1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0.3184213919</v>
      </c>
      <c r="T2" s="8" t="s">
        <v>18</v>
      </c>
      <c r="U2" s="18">
        <f>D4*0.45</f>
        <v>0</v>
      </c>
    </row>
    <row r="3">
      <c r="A3" s="8" t="s">
        <v>19</v>
      </c>
      <c r="B3" s="9">
        <f>'Main(manual)'!B3</f>
        <v>0</v>
      </c>
      <c r="C3" s="10" t="s">
        <v>20</v>
      </c>
      <c r="D3" s="11">
        <f>'Main(manual)'!D3</f>
        <v>5</v>
      </c>
      <c r="E3" s="10" t="s">
        <v>21</v>
      </c>
      <c r="F3" s="11">
        <f>'Main(manual)'!F3</f>
        <v>389</v>
      </c>
      <c r="G3" s="4" t="s">
        <v>22</v>
      </c>
      <c r="H3" s="9">
        <f>'Main(manual)'!H3</f>
        <v>63</v>
      </c>
      <c r="I3" s="12" t="s">
        <v>23</v>
      </c>
      <c r="J3" s="13" t="str">
        <f>'Main(manual)'!J3</f>
        <v>Flametongue</v>
      </c>
      <c r="K3" s="4" t="s">
        <v>24</v>
      </c>
      <c r="L3" s="19">
        <f>'Main(manual)'!L3</f>
        <v>1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0.4248870382</v>
      </c>
      <c r="T3" s="8" t="s">
        <v>27</v>
      </c>
      <c r="U3" s="21">
        <v>0.35</v>
      </c>
    </row>
    <row r="4">
      <c r="A4" s="8" t="s">
        <v>28</v>
      </c>
      <c r="B4" s="9">
        <f>'Main(manual)'!B4</f>
        <v>77</v>
      </c>
      <c r="C4" s="10" t="s">
        <v>18</v>
      </c>
      <c r="D4" s="11">
        <f>'Main(manual)'!D4</f>
        <v>0</v>
      </c>
      <c r="E4" s="10" t="s">
        <v>29</v>
      </c>
      <c r="F4" s="11">
        <f>'Main(manual)'!F4</f>
        <v>3.6</v>
      </c>
      <c r="G4" s="4" t="s">
        <v>30</v>
      </c>
      <c r="H4" s="9">
        <f>'Main(manual)'!H4</f>
        <v>1</v>
      </c>
      <c r="I4" s="8" t="s">
        <v>31</v>
      </c>
      <c r="J4" s="22" t="str">
        <f>'Main(manual)'!J4</f>
        <v>Nova+Searing</v>
      </c>
      <c r="K4" s="4" t="s">
        <v>32</v>
      </c>
      <c r="L4" s="23">
        <f>'Main(manual)'!L4</f>
        <v>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f>'Main(manual)'!B5</f>
        <v>0.04</v>
      </c>
      <c r="C5" s="10" t="s">
        <v>37</v>
      </c>
      <c r="D5" s="11">
        <f>'Main(manual)'!D5</f>
        <v>0</v>
      </c>
      <c r="E5" s="10" t="s">
        <v>38</v>
      </c>
      <c r="F5" s="11" t="b">
        <f>'Main(manual)'!F5</f>
        <v>1</v>
      </c>
      <c r="G5" s="12" t="s">
        <v>39</v>
      </c>
      <c r="H5" s="9" t="b">
        <f>'Main(manual)'!H5</f>
        <v>1</v>
      </c>
      <c r="I5" s="8" t="s">
        <v>40</v>
      </c>
      <c r="J5" s="9" t="b">
        <f>'Main(manual)'!J5</f>
        <v>0</v>
      </c>
      <c r="K5" s="4" t="s">
        <v>41</v>
      </c>
      <c r="L5" s="9" t="b">
        <f>'Main(manual)'!L5</f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f>'Main(manual)'!B6</f>
        <v>0.02</v>
      </c>
      <c r="C6" s="10" t="s">
        <v>45</v>
      </c>
      <c r="D6" s="11">
        <f>'Main(manual)'!D6</f>
        <v>5</v>
      </c>
      <c r="E6" s="10" t="s">
        <v>46</v>
      </c>
      <c r="F6" s="11" t="b">
        <f>'Main(manual)'!F6</f>
        <v>1</v>
      </c>
      <c r="G6" s="10" t="s">
        <v>47</v>
      </c>
      <c r="H6" s="11" t="b">
        <f>'Main(manual)'!H6</f>
        <v>0</v>
      </c>
      <c r="I6" s="4" t="s">
        <v>48</v>
      </c>
      <c r="J6" s="9" t="b">
        <f>'Main(manual)'!J6</f>
        <v>1</v>
      </c>
      <c r="K6" s="12" t="s">
        <v>49</v>
      </c>
      <c r="L6" s="9" t="b">
        <f>'Main(manual)'!L6</f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f>((1+'Main(manual)'!B7)*1.01)-1</f>
        <v>0.0403</v>
      </c>
      <c r="C7" s="10" t="s">
        <v>51</v>
      </c>
      <c r="D7" s="11">
        <f>'Main(manual)'!D7</f>
        <v>0</v>
      </c>
      <c r="E7" s="10" t="s">
        <v>53</v>
      </c>
      <c r="F7" s="11" t="b">
        <f>'Main(manual)'!F7</f>
        <v>1</v>
      </c>
      <c r="G7" s="12" t="s">
        <v>54</v>
      </c>
      <c r="H7" s="9">
        <f>'Main(manual)'!H7</f>
        <v>4</v>
      </c>
      <c r="I7" s="4" t="s">
        <v>55</v>
      </c>
      <c r="J7" s="9" t="b">
        <f>'Main(manual)'!J7</f>
        <v>0</v>
      </c>
      <c r="K7" s="12" t="s">
        <v>56</v>
      </c>
      <c r="L7" s="9" t="b">
        <f>'Main(manual)'!L7</f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0.2182532481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</v>
      </c>
    </row>
    <row r="8">
      <c r="A8" s="8" t="s">
        <v>58</v>
      </c>
      <c r="B8" s="9">
        <f>'Main(manual)'!B8</f>
        <v>313</v>
      </c>
      <c r="C8" s="8" t="s">
        <v>59</v>
      </c>
      <c r="D8" s="11">
        <f>'Main(manual)'!D8</f>
        <v>4</v>
      </c>
      <c r="E8" s="8" t="s">
        <v>60</v>
      </c>
      <c r="F8" s="11" t="b">
        <f>'Main(manual)'!F8</f>
        <v>0</v>
      </c>
      <c r="G8" s="12" t="s">
        <v>61</v>
      </c>
      <c r="H8" s="9">
        <f>'Main(manual)'!H8</f>
        <v>4211</v>
      </c>
      <c r="I8" s="4" t="s">
        <v>62</v>
      </c>
      <c r="J8" s="9" t="b">
        <f>'Main(manual)'!J8</f>
        <v>1</v>
      </c>
      <c r="K8" s="4" t="s">
        <v>63</v>
      </c>
      <c r="L8" s="9" t="b">
        <f>'Main(manual)'!L8</f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f>'Main(manual)'!B9</f>
        <v>500</v>
      </c>
      <c r="C9" s="10" t="s">
        <v>67</v>
      </c>
      <c r="D9" s="11">
        <f>'Main(manual)'!D9</f>
        <v>5</v>
      </c>
      <c r="E9" s="8" t="s">
        <v>68</v>
      </c>
      <c r="F9" s="11" t="b">
        <f>'Main(manual)'!F9</f>
        <v>0</v>
      </c>
      <c r="G9" s="12" t="s">
        <v>69</v>
      </c>
      <c r="H9" s="9" t="b">
        <f>'Main(manual)'!H9</f>
        <v>1</v>
      </c>
      <c r="I9" s="4" t="s">
        <v>70</v>
      </c>
      <c r="J9" s="9" t="b">
        <f>'Main(manual)'!J9</f>
        <v>1</v>
      </c>
      <c r="K9" s="4" t="s">
        <v>71</v>
      </c>
      <c r="L9" s="9" t="b">
        <f>'Main(manual)'!L9</f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f>'Main(manual)'!B10</f>
        <v>157</v>
      </c>
      <c r="C10" s="10" t="s">
        <v>76</v>
      </c>
      <c r="D10" s="11">
        <f>'Main(manual)'!D10</f>
        <v>2</v>
      </c>
      <c r="E10" s="10" t="s">
        <v>77</v>
      </c>
      <c r="F10" s="11" t="b">
        <f>'Main(manual)'!F11</f>
        <v>0</v>
      </c>
      <c r="G10" s="12" t="s">
        <v>78</v>
      </c>
      <c r="H10" s="9" t="b">
        <f>'Main(manual)'!H10</f>
        <v>1</v>
      </c>
      <c r="I10" s="4" t="s">
        <v>79</v>
      </c>
      <c r="J10" s="9" t="b">
        <f>'Main(manual)'!J10</f>
        <v>1</v>
      </c>
      <c r="K10" s="12" t="s">
        <v>80</v>
      </c>
      <c r="L10" s="9" t="b">
        <f>'Main(manual)'!L10</f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f>'Main(manual)'!B11</f>
        <v>0</v>
      </c>
      <c r="C11" s="10" t="s">
        <v>83</v>
      </c>
      <c r="D11" s="11">
        <f>'Main(manual)'!D11</f>
        <v>3</v>
      </c>
      <c r="E11" s="10" t="s">
        <v>84</v>
      </c>
      <c r="F11" s="11" t="b">
        <f>'Main(manual)'!F12</f>
        <v>0</v>
      </c>
      <c r="G11" s="12" t="s">
        <v>85</v>
      </c>
      <c r="H11" s="9" t="b">
        <f>'Main(manual)'!H11</f>
        <v>1</v>
      </c>
      <c r="I11" s="4" t="s">
        <v>86</v>
      </c>
      <c r="J11" s="9" t="b">
        <f>'Main(manual)'!J11</f>
        <v>1</v>
      </c>
      <c r="K11" s="12" t="s">
        <v>87</v>
      </c>
      <c r="L11" s="9" t="b">
        <f>'Main(manual)'!L11</f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f>'Main(manual)'!B12</f>
        <v>5</v>
      </c>
      <c r="C12" s="10" t="s">
        <v>91</v>
      </c>
      <c r="D12" s="11">
        <f>'Main(manual)'!D12</f>
        <v>3</v>
      </c>
      <c r="E12" s="10" t="s">
        <v>92</v>
      </c>
      <c r="F12" s="11" t="b">
        <f>'Main(manual)'!F13</f>
        <v>1</v>
      </c>
      <c r="G12" s="12" t="s">
        <v>93</v>
      </c>
      <c r="H12" s="9" t="b">
        <f>'Main(manual)'!H12</f>
        <v>1</v>
      </c>
      <c r="I12" s="12" t="s">
        <v>94</v>
      </c>
      <c r="J12" s="9" t="b">
        <f>'Main(manual)'!J12</f>
        <v>1</v>
      </c>
      <c r="K12" s="12" t="s">
        <v>95</v>
      </c>
      <c r="L12" s="9" t="b">
        <f>'Main(manual)'!L12</f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f>'Main(manual)'!B13</f>
        <v>0</v>
      </c>
      <c r="C13" s="10" t="s">
        <v>98</v>
      </c>
      <c r="D13" s="11">
        <f>'Main(manual)'!D13</f>
        <v>3</v>
      </c>
      <c r="E13" s="10" t="s">
        <v>99</v>
      </c>
      <c r="F13" s="11" t="b">
        <f>'Main(manual)'!F14</f>
        <v>0</v>
      </c>
      <c r="G13" s="12" t="s">
        <v>100</v>
      </c>
      <c r="H13" s="9" t="b">
        <f>'Main(manual)'!H13</f>
        <v>1</v>
      </c>
      <c r="I13" s="12" t="s">
        <v>101</v>
      </c>
      <c r="J13" s="9" t="b">
        <f>'Main(manual)'!J13</f>
        <v>1</v>
      </c>
      <c r="K13" s="12" t="s">
        <v>102</v>
      </c>
      <c r="L13" s="9" t="b">
        <f>'Main(manual)'!L13</f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f>'Main(manual)'!B14</f>
        <v>0</v>
      </c>
      <c r="C14" s="10" t="s">
        <v>106</v>
      </c>
      <c r="D14" s="11">
        <f>'Main(manual)'!D14</f>
        <v>3</v>
      </c>
      <c r="E14" s="34" t="s">
        <v>107</v>
      </c>
      <c r="F14" s="11" t="b">
        <f>'Main(manual)'!F15</f>
        <v>0</v>
      </c>
      <c r="G14" s="12" t="s">
        <v>108</v>
      </c>
      <c r="H14" s="9" t="b">
        <f>'Main(manual)'!H14</f>
        <v>0</v>
      </c>
      <c r="I14" s="12" t="s">
        <v>109</v>
      </c>
      <c r="J14" s="9" t="b">
        <f>'Main(manual)'!J14</f>
        <v>1</v>
      </c>
      <c r="K14" s="35" t="s">
        <v>110</v>
      </c>
      <c r="L14" s="9" t="b">
        <f>'Main(manual)'!L14</f>
        <v>1</v>
      </c>
      <c r="M14" s="8" t="s">
        <v>111</v>
      </c>
      <c r="N14" s="28">
        <f>N13+(L2*2250)+(L3*1350)+(L4*1550)+(H2/2*N12)+((N19*59/60)*H2)+IF(J2="Water",130*(H2/H7),0)</f>
        <v>14177.065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f>'Main(manual)'!B15</f>
        <v>385</v>
      </c>
      <c r="C15" s="10" t="s">
        <v>114</v>
      </c>
      <c r="D15" s="11">
        <f>'Main(manual)'!D15</f>
        <v>1</v>
      </c>
      <c r="E15" s="8" t="s">
        <v>115</v>
      </c>
      <c r="F15" s="11" t="b">
        <f>'Main(manual)'!F16</f>
        <v>0</v>
      </c>
      <c r="G15" s="4" t="s">
        <v>116</v>
      </c>
      <c r="H15" s="9">
        <f>'Main(manual)'!H15</f>
        <v>15</v>
      </c>
      <c r="I15" s="12" t="s">
        <v>117</v>
      </c>
      <c r="J15" s="9" t="b">
        <f>'Main(manual)'!J15</f>
        <v>0</v>
      </c>
      <c r="K15" s="35" t="s">
        <v>118</v>
      </c>
      <c r="L15" s="9" t="b">
        <f>'Main(manual)'!L15</f>
        <v>1</v>
      </c>
      <c r="M15" s="8" t="s">
        <v>113</v>
      </c>
      <c r="N15" s="15">
        <f>B15+IF(L16,150,0)+IF(L17,35,0)+IF(L18,55,0)+IF(L20,35,0)+IF(L21,15,0)+IF(L22,22,0)+IF(F25,132*P22,0)+IF($J$25,(60*(15/MAX(H2,15))))</f>
        <v>739.9682685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f>'Main(manual)'!B16</f>
        <v>432</v>
      </c>
      <c r="C16" s="10" t="s">
        <v>121</v>
      </c>
      <c r="D16" s="11">
        <f>'Main(manual)'!D16</f>
        <v>2</v>
      </c>
      <c r="E16" s="8" t="s">
        <v>122</v>
      </c>
      <c r="F16" s="11" t="b">
        <f>'Main(manual)'!F17</f>
        <v>0</v>
      </c>
      <c r="G16" s="12" t="s">
        <v>123</v>
      </c>
      <c r="H16" s="9">
        <f>'Main(manual)'!H16</f>
        <v>15</v>
      </c>
      <c r="I16" s="34" t="s">
        <v>124</v>
      </c>
      <c r="J16" s="9" t="b">
        <f>'Main(manual)'!J16</f>
        <v>0</v>
      </c>
      <c r="K16" s="4" t="s">
        <v>125</v>
      </c>
      <c r="L16" s="9" t="b">
        <f>'Main(manual)'!L16</f>
        <v>1</v>
      </c>
      <c r="M16" s="8" t="s">
        <v>120</v>
      </c>
      <c r="N16" s="15">
        <f>B16+IF(L16,150,0)+IF(L17,35,0)+IF(L19,40,0)+IF(L20,35,0)+IF(L21,15,0)+IF(L22,22,0)+IF(F25,132*P22,0)+IF($J$25,(60*(15/MAX(H2,15))))</f>
        <v>771.9682685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0.8144432923</v>
      </c>
    </row>
    <row r="17">
      <c r="A17" s="8" t="s">
        <v>127</v>
      </c>
      <c r="B17" s="25">
        <f>'Main(manual)'!B17</f>
        <v>0.07</v>
      </c>
      <c r="C17" s="8" t="s">
        <v>128</v>
      </c>
      <c r="D17" s="11">
        <f>'Main(manual)'!D17</f>
        <v>2</v>
      </c>
      <c r="E17" s="10" t="s">
        <v>129</v>
      </c>
      <c r="F17" s="11" t="b">
        <f>'Main(manual)'!F18</f>
        <v>0</v>
      </c>
      <c r="G17" s="4" t="s">
        <v>130</v>
      </c>
      <c r="H17" s="9" t="b">
        <f>'Main(manual)'!H17</f>
        <v>1</v>
      </c>
      <c r="I17" s="12" t="s">
        <v>131</v>
      </c>
      <c r="J17" s="9" t="b">
        <f>'Main(manual)'!J17</f>
        <v>0</v>
      </c>
      <c r="K17" s="4" t="s">
        <v>132</v>
      </c>
      <c r="L17" s="9" t="b">
        <f>'Main(manual)'!L17</f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0.8477886553</v>
      </c>
    </row>
    <row r="18">
      <c r="A18" s="8" t="s">
        <v>134</v>
      </c>
      <c r="B18" s="25">
        <f>'Main(manual)'!B18</f>
        <v>0.03</v>
      </c>
      <c r="C18" s="10" t="s">
        <v>43</v>
      </c>
      <c r="D18" s="11">
        <f>'Main(manual)'!D18</f>
        <v>0</v>
      </c>
      <c r="E18" s="10" t="s">
        <v>135</v>
      </c>
      <c r="F18" s="11" t="b">
        <f>'Main(manual)'!F19</f>
        <v>1</v>
      </c>
      <c r="G18" s="4" t="s">
        <v>136</v>
      </c>
      <c r="H18" s="9" t="b">
        <f>'Main(manual)'!H18</f>
        <v>1</v>
      </c>
      <c r="I18" s="4" t="s">
        <v>137</v>
      </c>
      <c r="J18" s="9" t="b">
        <f>'Main(manual)'!J18</f>
        <v>1</v>
      </c>
      <c r="K18" s="4" t="s">
        <v>138</v>
      </c>
      <c r="L18" s="9" t="b">
        <f>'Main(manual)'!L18</f>
        <v>1</v>
      </c>
      <c r="M18" s="8" t="s">
        <v>134</v>
      </c>
      <c r="N18" s="36">
        <f>$P$16*MIN(B18+(D11*1%)+IF(J20,1%,0)+(D11*0.03),16%)+(1-$P$16)*MIN(B18+(D11*1%)+IF(J20,1%,0),16%)</f>
        <v>0.1432998963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0.7023646735</v>
      </c>
    </row>
    <row r="19">
      <c r="A19" s="8" t="s">
        <v>140</v>
      </c>
      <c r="B19" s="9" t="str">
        <f>'Main(manual)'!B19</f>
        <v>Troll</v>
      </c>
      <c r="C19" s="8" t="s">
        <v>141</v>
      </c>
      <c r="D19" s="11">
        <f>'Main(manual)'!D19</f>
        <v>1</v>
      </c>
      <c r="E19" s="8" t="s">
        <v>142</v>
      </c>
      <c r="F19" s="11" t="b">
        <f>'Main(manual)'!F20</f>
        <v>0</v>
      </c>
      <c r="G19" s="4" t="s">
        <v>143</v>
      </c>
      <c r="H19" s="9" t="b">
        <f>'Main(manual)'!H19</f>
        <v>1</v>
      </c>
      <c r="I19" s="4" t="s">
        <v>144</v>
      </c>
      <c r="J19" s="9" t="b">
        <f>'Main(manual)'!J19</f>
        <v>1</v>
      </c>
      <c r="K19" s="4" t="s">
        <v>145</v>
      </c>
      <c r="L19" s="9" t="b">
        <f>'Main(manual)'!L19</f>
        <v>1</v>
      </c>
      <c r="M19" s="8" t="s">
        <v>146</v>
      </c>
      <c r="N19" s="37">
        <f>IF($H$21,((60/C43)+14.166+IF(J3="Windfury",(60/C44),0)+IF(J3="Flametongue",((60/C43)+(60/C46)+(60/C49)),0)+$F$72)*0.5*(1-SUM($P$3,$P$2)),0)</f>
        <v>47.48923728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11" t="b">
        <f>'Main(manual)'!F21</f>
        <v>0</v>
      </c>
      <c r="G20" s="4" t="s">
        <v>149</v>
      </c>
      <c r="H20" s="9" t="b">
        <f>'Main(manual)'!H20</f>
        <v>1</v>
      </c>
      <c r="I20" s="4" t="s">
        <v>150</v>
      </c>
      <c r="J20" s="9" t="b">
        <f>'Main(manual)'!J20</f>
        <v>1</v>
      </c>
      <c r="K20" s="4" t="s">
        <v>151</v>
      </c>
      <c r="L20" s="9" t="b">
        <f>'Main(manual)'!L20</f>
        <v>1</v>
      </c>
      <c r="N20" s="39"/>
      <c r="O20" s="10" t="s">
        <v>152</v>
      </c>
      <c r="P20" s="26">
        <f>IF($F$5,1-(0.65^(10/$C$51)),0)</f>
        <v>0.5775</v>
      </c>
    </row>
    <row r="21">
      <c r="E21" s="10" t="s">
        <v>153</v>
      </c>
      <c r="F21" s="11" t="b">
        <f>'Main(manual)'!F22</f>
        <v>0</v>
      </c>
      <c r="G21" s="12" t="s">
        <v>154</v>
      </c>
      <c r="H21" s="9" t="b">
        <f>'Main(manual)'!H21</f>
        <v>1</v>
      </c>
      <c r="I21" s="4" t="s">
        <v>155</v>
      </c>
      <c r="J21" s="9" t="b">
        <f>'Main(manual)'!J21</f>
        <v>1</v>
      </c>
      <c r="K21" s="4" t="s">
        <v>156</v>
      </c>
      <c r="L21" s="9" t="b">
        <f>'Main(manual)'!L21</f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1175.505691</v>
      </c>
      <c r="D22" s="40"/>
      <c r="E22" s="10" t="s">
        <v>159</v>
      </c>
      <c r="F22" s="11" t="b">
        <f>'Main(manual)'!F23</f>
        <v>0</v>
      </c>
      <c r="I22" s="4" t="s">
        <v>160</v>
      </c>
      <c r="J22" s="9" t="b">
        <f>'Main(manual)'!J22</f>
        <v>1</v>
      </c>
      <c r="K22" s="10" t="s">
        <v>161</v>
      </c>
      <c r="L22" s="9" t="b">
        <f>'Main(manual)'!L22</f>
        <v>0</v>
      </c>
      <c r="O22" s="8" t="s">
        <v>162</v>
      </c>
      <c r="P22" s="36">
        <f>1-EXP(-(0.05/(60/$H$72))*10)</f>
        <v>0.492183852</v>
      </c>
      <c r="V22" s="42"/>
      <c r="W22" s="42"/>
    </row>
    <row r="23">
      <c r="A23" s="40" t="s">
        <v>163</v>
      </c>
      <c r="B23" s="43">
        <f>$G$61</f>
        <v>1772.394743</v>
      </c>
      <c r="E23" s="10" t="s">
        <v>164</v>
      </c>
      <c r="F23" s="11" t="b">
        <f>'Main(manual)'!F24</f>
        <v>0</v>
      </c>
      <c r="I23" s="12" t="s">
        <v>74</v>
      </c>
      <c r="J23" s="9" t="b">
        <f>'Main(manual)'!J23</f>
        <v>1</v>
      </c>
      <c r="K23" s="8" t="s">
        <v>165</v>
      </c>
      <c r="L23" s="9" t="b">
        <f>'Main(manual)'!L23</f>
        <v>1</v>
      </c>
      <c r="O23" s="8" t="s">
        <v>166</v>
      </c>
      <c r="P23" s="36">
        <f>1-EXP(-(0.2/(60/$H$72))*6)</f>
        <v>0.8033492458</v>
      </c>
      <c r="V23" s="42"/>
      <c r="W23" s="42"/>
    </row>
    <row r="24">
      <c r="E24" s="8" t="s">
        <v>167</v>
      </c>
      <c r="F24" s="11" t="b">
        <f>'Main(manual)'!F25</f>
        <v>0</v>
      </c>
      <c r="I24" s="12" t="s">
        <v>168</v>
      </c>
      <c r="J24" s="9" t="b">
        <f>'Main(manual)'!J24</f>
        <v>1</v>
      </c>
      <c r="O24" s="8" t="s">
        <v>169</v>
      </c>
      <c r="P24" s="44">
        <f>1-EXP(-((E67*(1-SUM(P2:P3))/C43)+IF(J3="Windfury",(E67*(1-SUM(P2:P3))/C44),0)+(E67*(1-SUM(P2:P3))/C46)+(E67*(1-SUM(P2:P3))/C49))*20)</f>
        <v>0.4783770945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11" t="b">
        <f>'Main(manual)'!F27</f>
        <v>1</v>
      </c>
      <c r="I25" s="8" t="s">
        <v>174</v>
      </c>
      <c r="J25" s="9" t="b">
        <f>'Main(manual)'!J25</f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0.30880406</v>
      </c>
      <c r="C26" s="18">
        <f>1-B26</f>
        <v>0.69119594</v>
      </c>
      <c r="E26" s="8" t="s">
        <v>179</v>
      </c>
      <c r="F26" s="11">
        <f>'Main(manual)'!F28</f>
        <v>1</v>
      </c>
      <c r="I26" s="10" t="s">
        <v>180</v>
      </c>
      <c r="J26" s="9" t="b">
        <f>'Main(manual)'!J26</f>
        <v>0</v>
      </c>
      <c r="K26" s="49" t="s">
        <v>181</v>
      </c>
      <c r="L26" s="50" t="str">
        <f>(APWeight!B23-B23)/100</f>
        <v>#REF!</v>
      </c>
      <c r="M26" s="51" t="str">
        <f t="shared" ref="M26:M40" si="1">L26/$L$26</f>
        <v>#REF!</v>
      </c>
      <c r="N26" s="52" t="str">
        <f t="shared" ref="N26:N40" si="2">L26/$L$35</f>
        <v>#REF!</v>
      </c>
      <c r="V26" s="42"/>
      <c r="W26" s="42"/>
    </row>
    <row r="27">
      <c r="E27" s="8" t="s">
        <v>182</v>
      </c>
      <c r="F27" s="53" t="b">
        <f>'Main(manual)'!F10</f>
        <v>0</v>
      </c>
      <c r="I27" s="4" t="s">
        <v>183</v>
      </c>
      <c r="J27" s="9" t="b">
        <f>'Main(manual)'!J27</f>
        <v>0</v>
      </c>
      <c r="K27" s="49" t="s">
        <v>184</v>
      </c>
      <c r="L27" s="50" t="str">
        <f>(StrWeight!B23-B23)/100</f>
        <v>#REF!</v>
      </c>
      <c r="M27" s="54" t="str">
        <f t="shared" si="1"/>
        <v>#REF!</v>
      </c>
      <c r="N27" s="52" t="str">
        <f t="shared" si="2"/>
        <v>#REF!</v>
      </c>
      <c r="V27" s="42"/>
      <c r="W27" s="42"/>
    </row>
    <row r="28">
      <c r="E28" s="8" t="s">
        <v>185</v>
      </c>
      <c r="F28" s="55" t="str">
        <f>'Main(manual)'!F26</f>
        <v>None</v>
      </c>
      <c r="I28" s="4" t="s">
        <v>186</v>
      </c>
      <c r="J28" s="9" t="b">
        <f>'Main(manual)'!J28</f>
        <v>0</v>
      </c>
      <c r="K28" s="49" t="s">
        <v>187</v>
      </c>
      <c r="L28" s="50" t="str">
        <f>(AgiWeight!B23-B23)/100</f>
        <v>#REF!</v>
      </c>
      <c r="M28" s="54" t="str">
        <f t="shared" si="1"/>
        <v>#REF!</v>
      </c>
      <c r="N28" s="52" t="str">
        <f t="shared" si="2"/>
        <v>#REF!</v>
      </c>
      <c r="V28" s="42"/>
      <c r="W28" s="42"/>
    </row>
    <row r="29">
      <c r="I29" s="4" t="s">
        <v>188</v>
      </c>
      <c r="J29" s="9" t="b">
        <f>'Main(manual)'!J29</f>
        <v>0</v>
      </c>
      <c r="K29" s="49" t="s">
        <v>189</v>
      </c>
      <c r="L29" s="50" t="str">
        <f>(IntWeight!B23-B23)/100</f>
        <v>#REF!</v>
      </c>
      <c r="M29" s="54" t="str">
        <f t="shared" si="1"/>
        <v>#REF!</v>
      </c>
      <c r="N29" s="52" t="str">
        <f t="shared" si="2"/>
        <v>#REF!</v>
      </c>
      <c r="V29" s="42"/>
      <c r="W29" s="42"/>
    </row>
    <row r="30">
      <c r="K30" s="49" t="s">
        <v>190</v>
      </c>
      <c r="L30" s="50" t="str">
        <f>PhysCritWeight!B23-B23</f>
        <v>#REF!</v>
      </c>
      <c r="M30" s="54" t="str">
        <f t="shared" si="1"/>
        <v>#REF!</v>
      </c>
      <c r="N30" s="52" t="str">
        <f t="shared" si="2"/>
        <v>#REF!</v>
      </c>
      <c r="V30" s="42"/>
      <c r="W30" s="42"/>
    </row>
    <row r="31">
      <c r="K31" s="49" t="s">
        <v>191</v>
      </c>
      <c r="L31" s="50" t="str">
        <f>PhysHitWeight!B23-B23</f>
        <v>#REF!</v>
      </c>
      <c r="M31" s="54" t="str">
        <f t="shared" si="1"/>
        <v>#REF!</v>
      </c>
      <c r="N31" s="52" t="str">
        <f t="shared" si="2"/>
        <v>#REF!</v>
      </c>
      <c r="V31" s="42"/>
      <c r="W31" s="42"/>
    </row>
    <row r="32">
      <c r="K32" s="49" t="s">
        <v>192</v>
      </c>
      <c r="L32" s="50" t="str">
        <f>HasteWeight!B23-B23</f>
        <v>#REF!</v>
      </c>
      <c r="M32" s="54" t="str">
        <f t="shared" si="1"/>
        <v>#REF!</v>
      </c>
      <c r="N32" s="52" t="str">
        <f t="shared" si="2"/>
        <v>#REF!</v>
      </c>
      <c r="V32" s="42"/>
      <c r="W32" s="42"/>
    </row>
    <row r="33">
      <c r="H33" s="56"/>
      <c r="I33" s="57"/>
      <c r="K33" s="49" t="s">
        <v>193</v>
      </c>
      <c r="L33" s="50" t="str">
        <f>(WepSkillWeight!B23-B23)</f>
        <v>#REF!</v>
      </c>
      <c r="M33" s="54" t="str">
        <f t="shared" si="1"/>
        <v>#REF!</v>
      </c>
      <c r="N33" s="52" t="str">
        <f t="shared" si="2"/>
        <v>#REF!</v>
      </c>
      <c r="V33" s="42"/>
      <c r="W33" s="42"/>
    </row>
    <row r="34">
      <c r="K34" s="49" t="s">
        <v>194</v>
      </c>
      <c r="L34" s="50" t="str">
        <f>ArPWeight!B23-B23</f>
        <v>#REF!</v>
      </c>
      <c r="M34" s="54" t="str">
        <f t="shared" si="1"/>
        <v>#REF!</v>
      </c>
      <c r="N34" s="52" t="str">
        <f t="shared" si="2"/>
        <v>#REF!</v>
      </c>
    </row>
    <row r="35">
      <c r="K35" s="49" t="s">
        <v>195</v>
      </c>
      <c r="L35" s="50" t="str">
        <f>L37+L36</f>
        <v>#REF!</v>
      </c>
      <c r="M35" s="54" t="str">
        <f t="shared" si="1"/>
        <v>#REF!</v>
      </c>
      <c r="N35" s="58" t="str">
        <f t="shared" si="2"/>
        <v>#REF!</v>
      </c>
    </row>
    <row r="36">
      <c r="K36" s="49" t="s">
        <v>196</v>
      </c>
      <c r="L36" s="50" t="str">
        <f>NatureWeight!B23-B23</f>
        <v>#REF!</v>
      </c>
      <c r="M36" s="54" t="str">
        <f t="shared" si="1"/>
        <v>#REF!</v>
      </c>
      <c r="N36" s="52" t="str">
        <f t="shared" si="2"/>
        <v>#REF!</v>
      </c>
    </row>
    <row r="37">
      <c r="K37" s="49" t="s">
        <v>197</v>
      </c>
      <c r="L37" s="50" t="str">
        <f>FireWeight!B23-B23</f>
        <v>#REF!</v>
      </c>
      <c r="M37" s="54" t="str">
        <f t="shared" si="1"/>
        <v>#REF!</v>
      </c>
      <c r="N37" s="52" t="str">
        <f t="shared" si="2"/>
        <v>#REF!</v>
      </c>
    </row>
    <row r="38">
      <c r="K38" s="49" t="s">
        <v>198</v>
      </c>
      <c r="L38" s="50" t="str">
        <f>SpellCritWeight!B23-B23</f>
        <v>#REF!</v>
      </c>
      <c r="M38" s="54" t="str">
        <f t="shared" si="1"/>
        <v>#REF!</v>
      </c>
      <c r="N38" s="52" t="str">
        <f t="shared" si="2"/>
        <v>#REF!</v>
      </c>
    </row>
    <row r="39">
      <c r="K39" s="49" t="s">
        <v>199</v>
      </c>
      <c r="L39" s="50" t="str">
        <f>(SpellHitWeight!B23-B23)</f>
        <v>#REF!</v>
      </c>
      <c r="M39" s="54" t="str">
        <f t="shared" si="1"/>
        <v>#REF!</v>
      </c>
      <c r="N39" s="52" t="str">
        <f t="shared" si="2"/>
        <v>#REF!</v>
      </c>
    </row>
    <row r="40">
      <c r="K40" s="59" t="s">
        <v>200</v>
      </c>
      <c r="L40" s="60" t="str">
        <f>SpellPenWeight!B23-B23</f>
        <v>#REF!</v>
      </c>
      <c r="M40" s="61" t="str">
        <f t="shared" si="1"/>
        <v>#REF!</v>
      </c>
      <c r="N40" s="62" t="str">
        <f t="shared" si="2"/>
        <v>#REF!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3.6</v>
      </c>
      <c r="C43" s="2">
        <f>$F$4/(1+$N$7)</f>
        <v>2.955050607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314.5342982</v>
      </c>
      <c r="J43" s="76">
        <f>I43*(IF($J$3="Rockbiter",1+U3,1)+IF(AND($J$3="Rockbiter",$F$11),U3*U4,0))*IF($J$6,0.75,1)*IF($J$7,0.8,1)*IF($F$17,1.02,1)*IF($F$18,0.98,1)*(1-U7)*(1+U5)</f>
        <v>231.1827092</v>
      </c>
      <c r="K43" s="18">
        <f t="shared" ref="K43:K52" si="4">I43/$B$23</f>
        <v>0.1774628927</v>
      </c>
      <c r="L43" s="74"/>
      <c r="M43" s="74"/>
      <c r="N43" s="2"/>
    </row>
    <row r="44">
      <c r="A44" s="71" t="s">
        <v>214</v>
      </c>
      <c r="B44" s="72">
        <f t="shared" si="3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3.6</v>
      </c>
      <c r="C45" s="2">
        <f>$F$4/(1+$N$7)</f>
        <v>2.955050607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(29.5*$F$4+(D45*$N$16))*(1+IF(J3="Flametongue",0.1*$D$12,0))*(1+($D$14*0.05))*(1+($D$17*0.05))*IF($H$18,1.1,1)*IF($H$19,1.15,1)*IF($H$20,1+(0.1*H67),1)*IF(F27,1.45,1)</f>
        <v>395.1091082</v>
      </c>
      <c r="G45" s="74">
        <f>(29.5*$F$4+(D45*$N$16))*(1+IF(J3="Flametongue",0.1*$D$12,0))*(1+($D$14*0.05))*(1+($D$17*0.05))*IF($H$18,1.1,1)*IF($H$19,1.15,1)*IF($H$20,1+(0.1*H67),1)*IF(F27,1.45,1)</f>
        <v>395.1091082</v>
      </c>
      <c r="H45" s="74">
        <f>(AVERAGE(F45,G45))*(($N$17+$U$8)*(1.5+($D$17*0.25)))+(AVERAGE(F45,G45))*((MIN(IF($H$3=63,0.83+$N$18,0.96+$N$18-(($H$3-60)*0.01)),0.99))-($N$17+$U$8))*((1-$P$15*0.0025)*$P$13)*(1-P2-P3)</f>
        <v>456.4467256</v>
      </c>
      <c r="I45" s="75">
        <f>IF($J$3="Flametongue",(H45/C45)+(H45/C46)+(H45/C49)+IF(F23,((H45/C45)+(H45/C46)+(H45/C49))*K67,0))</f>
        <v>262.2353952</v>
      </c>
      <c r="J45" s="76">
        <f>I45*(IF($J$3="Rockbiter",1+U3,1)+IF(AND($J$3="Rockbiter",$F$11),U3*U4,0))*IF($J$6,0.7,1)*IF($J$7,0.8,1)*IF($F$17,1.02,1)*IF($F$18,0.98,1)*(1-U7)*(1+U5)</f>
        <v>179.8934811</v>
      </c>
      <c r="K45" s="18">
        <f t="shared" si="4"/>
        <v>0.1479554124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9">
        <f>(AVERAGE(F46,G46)*($P$10+$U$8)*(2*(1+$D$17*0.25))+(AVERAGE(F46,G46)*(1-$P$2-$P$3-$P$4-($P$10+U8)))+((AVERAGE(F46,G46)-$P$6)*$P$4))</f>
        <v>842.9158191</v>
      </c>
      <c r="I46" s="75">
        <f t="shared" ref="I46:I47" si="6">H46/C46</f>
        <v>93.65731323</v>
      </c>
      <c r="J46" s="76">
        <f>I46*(IF($J$3="Rockbiter",1+U3,1)+IF(AND($J$3="Rockbiter",$F$11),U3*U4,0))*IF($J$6,0.75,1)*IF($J$7,0.8,1)*IF($F$17,1.02,1)*IF($F$18,0.98,1)*(1-U7)*(1+U5)</f>
        <v>68.83812522</v>
      </c>
      <c r="K46" s="18">
        <f t="shared" si="4"/>
        <v>0.05284224272</v>
      </c>
      <c r="L46" s="80">
        <f>IF($J$2="Lightning",(182*(1-J26*0.2)),(182*(1-J26*0.2))-(150+($N$3/10)))-($P$17*0.6*182)</f>
        <v>89.42147884</v>
      </c>
      <c r="M46" s="74">
        <f>L46/C46</f>
        <v>9.935719872</v>
      </c>
      <c r="N46" s="2"/>
    </row>
    <row r="47">
      <c r="A47" s="71" t="s">
        <v>217</v>
      </c>
      <c r="B47" s="78">
        <v>1.5</v>
      </c>
      <c r="C47" s="71">
        <f t="shared" si="5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252.1951064</v>
      </c>
      <c r="G47" s="79">
        <f>(($F$3+($N$3/E43))*(0.2)+($D$47*$N$15))*(1+U8)*IF($H$20,1+(0.1*H67),1)*(1+(D17*0.05))*IF(J23,1+U9,1)</f>
        <v>292.1804307</v>
      </c>
      <c r="H47" s="79">
        <f>(AVERAGE(F47,G47)*($P$10+$U$8)*(1.5+($D$17*0.25))+(AVERAGE(F47,G47)*(1-$P$2-$P$3-$P$4-($P$10+U8)))+((AVERAGE(F47,G47)-$P$6)*$P$4))*IF(J23,1+U9,1)</f>
        <v>442.8835229</v>
      </c>
      <c r="I47" s="75">
        <f t="shared" si="6"/>
        <v>49.20928032</v>
      </c>
      <c r="J47" s="76">
        <f>I47*(IF($J$3="Rockbiter",1+U3,1)+IF(AND($J$3="Rockbiter",$F$11),U3*U4,0))*IF($J$6,0.75,1)*IF($J$7,0.8,1)*IF($F$17,1.02,1)*IF($F$18,0.98,1)*(1-U7)*(1+U5)</f>
        <v>36.16882104</v>
      </c>
      <c r="K47" s="18">
        <f t="shared" si="4"/>
        <v>0.02776428925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9</v>
      </c>
      <c r="D48" s="81">
        <v>0.265</v>
      </c>
      <c r="E48" s="82">
        <v>0.25</v>
      </c>
      <c r="F48" s="74">
        <f>IF($J$2="Lightning",(198+(D48*N15)+(E48*$N$3))*IF($J$23,1+U9,1)*IF($F$12,1.15,1)*(1+(D17*0.05))*(1+(D9*0.01))*IF($H$20,1+(0.1*H67),1)*IF(J26,1.15,1),0)</f>
        <v>1306.08309</v>
      </c>
      <c r="G48" s="74">
        <f>IF($J$2="Lightning",(198+(D48*N15)+(E48*$N$3))*IF($J$23,1+U9,1)*IF($F$12,1.15,1)*(1+(D17*0.05))*(1+(D9*0.01))*IF($H$20,1+(0.1*H67),1)*IF(J26,1.15,1),0)</f>
        <v>1306.08309</v>
      </c>
      <c r="H48" s="79">
        <f>G48*((1-$P$14*0.0025)*$P$13)*(1-P2-P3)</f>
        <v>1158.965891</v>
      </c>
      <c r="I48" s="75">
        <f>IF(F15,((H48/C48)+(H48/C43)*0.15+(H48/C46)*0.15+(H48/C49)*0.15+IF(J3="Windfury",H48/C44,0)*0.15)*(1-P2),(H48/C48)*(1-P2))</f>
        <v>121.5626446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89.34854376</v>
      </c>
      <c r="K48" s="18">
        <f t="shared" si="4"/>
        <v>0.06858666504</v>
      </c>
      <c r="L48" s="80">
        <f>IF($J$2="Lightning",(182*(1-J26*0.2)),(182*(1-J26*0.2))-(150+($N$3/10)))-($P$17*0.6*182)</f>
        <v>89.42147884</v>
      </c>
      <c r="M48" s="74">
        <f t="shared" ref="M48:M51" si="7">L48/C48</f>
        <v>9.935719872</v>
      </c>
      <c r="N48" s="2"/>
    </row>
    <row r="49">
      <c r="A49" s="71" t="s">
        <v>74</v>
      </c>
      <c r="B49" s="78">
        <v>1.5</v>
      </c>
      <c r="C49" s="71">
        <f>IF($F$10,7.5,8)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9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I49*(IF($J$3="Rockbiter",1+U3,1)+IF(AND($J$3="Rockbiter",$F$11),U3*U4,0))*IF($J$6,0.75,1)*IF($J$7,0.8,1)*IF($F$17,1.02,1)*IF($F$18,0.98,1)*(1-U7)*(1+U5)</f>
        <v>102.2613446</v>
      </c>
      <c r="K49" s="18">
        <f t="shared" si="4"/>
        <v>0.07849892449</v>
      </c>
      <c r="L49" s="80">
        <f>(152*(1-J26*0.2))-($P$17*0.6*152)</f>
        <v>74.68167464</v>
      </c>
      <c r="M49" s="74">
        <f t="shared" si="7"/>
        <v>9.33520933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(492+(E50*$N$3)+(D50*$N$15)+IF(F7,30,0))*(1+(D17*0.05))*(1+(D9*0.01))*IF($J$23,1+U9,1)*IF(F14,1.1,1)*IF(J26,1.15,1)*IF($H$20,1+(0.1*H67),1)</f>
        <v>1426.142007</v>
      </c>
      <c r="G50" s="80">
        <f>(520+(E50*$N$3)+(D50*$N$15)+IF(F7,30,0))*(1+(D17*0.05))*(1+(D9*0.01))*IF($J$23,1+U9,1)*IF(F14,1.1,1)*IF(J26,1.15,1)*IF($H$20,1+(0.1*H67),1)</f>
        <v>1468.006983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1725.899796</v>
      </c>
      <c r="I50" s="75">
        <f>H50*2/15</f>
        <v>230.1199728</v>
      </c>
      <c r="J50" s="76">
        <f>I50*(IF($J$3="Rockbiter",1+U3,1)+IF(AND($J$3="Rockbiter",$F$11),U3*U4,0))*IF($J$6,0.75,1)*IF($J$7,0.8,1)*IF($F$17,1.02,1)*IF($F$18,0.98,1)*1.5*(1+U5)</f>
        <v>253.7072701</v>
      </c>
      <c r="K50" s="18">
        <f t="shared" si="4"/>
        <v>0.1298356214</v>
      </c>
      <c r="L50" s="80">
        <f>(450*(1-($D$10*0.02))*(1-J26*0.2))-($P$17*0.6*450)</f>
        <v>203.0970631</v>
      </c>
      <c r="M50" s="74">
        <f t="shared" si="7"/>
        <v>40.61941261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(293+(E51*$N$3)+(D51*$N$16)+IF($F$7,30,0))*(1+D9*0.01)*IF(J3="Flametongue",1+(D12*0.1),1)*(1+($D$14*0.05))*(1+($D$17*0.05))*IF($H$18,1.1,1)*IF($H$19,1.15,1)*IF($H$20,1+(0.1*H67),1)*IF(F14,1.1,1)*IF(J26,1.15,1)</f>
        <v>1385.479811</v>
      </c>
      <c r="G51" s="80">
        <f>(293+(E51*$N$3)+(D51*$N$16)+IF($F$7,30,0))*(1+D9*0.01)*IF(J3="Flametongue",1+(D12*0.1),1)*(1+($D$14*0.05))*(1+($D$17*0.05))*IF($H$18,1.1,1)*IF($H$19,1.15,1)*IF($H$20,1+(0.1*H67),1)*IF(F14,1.1,1)*IF(J26,1.15,1)</f>
        <v>1385.479811</v>
      </c>
      <c r="H51" s="80">
        <f>(AVERAGE(F51,G51))*(($N$17+$U$8+IF($F$14,0.05,0))*(1.5+($D$17*0.25)))+(AVERAGE(F51,G51))*((MIN(IF($H$3=63,0.83+$N$18,0.96+$N$18-(($H$3-60)*0.01)),0.99))-($N$17+$U$8+IF($F$14,0.05,0)))*((1-$P$15*0.0025)*$P$13)</f>
        <v>1652.436922</v>
      </c>
      <c r="I51" s="75">
        <f t="shared" ref="I51:I52" si="9">H51/15</f>
        <v>110.1624615</v>
      </c>
      <c r="J51" s="76">
        <f>I51*(IF($J$3="Rockbiter",1+U3,1)+IF(AND($J$3="Rockbiter",$F$11),U3*U4,0))*IF($J$6,0.75,1)*IF($J$7,0.8,1)*IF($F$17,1.02,1)*IF($F$18,0.98,1)*(1+U5)</f>
        <v>80.96940917</v>
      </c>
      <c r="K51" s="18">
        <f t="shared" si="4"/>
        <v>0.06215458597</v>
      </c>
      <c r="L51" s="80">
        <f>(410*(1-($D$10*0.02))*(1-J26*0.2)-($P$17*0.6*450))</f>
        <v>164.6970631</v>
      </c>
      <c r="M51" s="74">
        <f t="shared" si="7"/>
        <v>32.93941261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477.59299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477.59299</v>
      </c>
      <c r="H52" s="80">
        <f>(AVERAGE(F52,G52))*MIN(IF($H$3=63,0.83+$N$18,0.96+$N$18-(($H$3-60)*0.01)),0.99)*((1-$P$15*0.0025)*$P$13)*5</f>
        <v>2184.753676</v>
      </c>
      <c r="I52" s="75">
        <f t="shared" si="9"/>
        <v>145.6502451</v>
      </c>
      <c r="J52" s="76">
        <f>I52*(IF($J$3="Rockbiter",1+U3,1)+IF(AND($J$3="Rockbiter",$F$11),U3*U4,0))*IF($J$6,0.75,1)*IF($J$7,0.8,1)*IF($F$17,1.02,1)*IF($F$18,0.98,1)*(1+U5)</f>
        <v>107.0529301</v>
      </c>
      <c r="K52" s="18">
        <f t="shared" si="4"/>
        <v>0.08217709153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591.4497364</v>
      </c>
      <c r="G53" s="74">
        <f>(198+($N$15*$D$53))*(1+(D17*0.05))*(1+(D9*0.01))*IF(J26,1.15,1)*IF($H$20,1+(0.1*H67),1)*IF(J23,1+U9,1)</f>
        <v>591.4497364</v>
      </c>
      <c r="H53" s="74">
        <f>F53*((1-$P$14*0.0025)*$P$13)</f>
        <v>555.9627523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382.1133894</v>
      </c>
      <c r="G55" s="74">
        <f>(54+(D55*$N$16))*(1+($D$14*0.05))*(1+(IF(J3="Flametongue",($D$12*0.1),0)))*(1+($D$17*0.05))*(1+($D$9*0.01))*IF($H$18,1.1,1)*IF($H$19,1.15,1)*IF($H$20,1+(0.1*H67),1)</f>
        <v>413.782988</v>
      </c>
      <c r="H55" s="80">
        <f t="shared" ref="H55:H57" si="11">(AVERAGE(F55,G55))*(($N$17+$U$8)*(1.5+($D$17*0.25)))+(AVERAGE(F55,G55))*((MIN(IF($H$3=63,0.83+$N$18,0.96+$N$18-(($H$3-60)*0.01)),0.99))-($N$17+$U$8))*((1-$P$15*0.0025)*$P$13)</f>
        <v>474.6256673</v>
      </c>
      <c r="I55" s="75">
        <f>IF(J4="Searing",H55/C55,0)+IF(J4="Nova+Searing",((H55*(ROUNDDOWN((15-(4-D16))/C55,0)))/15),0)</f>
        <v>189.8502669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0.1071151151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227.8097003</v>
      </c>
      <c r="G56" s="74">
        <f>(75+(D56*$N$16))*(1+($D$14*0.05))*(1+(IF(J3="Flametongue",($D$12*0.1),0)))*(1+($D$17*0.05))*(1+($D$9*0.01))*IF($H$18,1.1,1)*IF($H$19,1.15,1)*IF($H$20,1+(0.1*H67),1)</f>
        <v>227.8097003</v>
      </c>
      <c r="H56" s="80">
        <f t="shared" si="11"/>
        <v>271.7045437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1183.971252</v>
      </c>
      <c r="G57" s="74">
        <f>(459+(D57*$N$16))*(1+($D$14*0.05))*(1+(IF(J3="Flametongue",($D$12*0.1),0)))*(1+($D$17*0.05))*(1+($D$9*0.01))*IF($H$18,1.1,1)*IF($H$19,1.15,1)*IF($H$20,1+(0.1*H67),1)</f>
        <v>1288.028504</v>
      </c>
      <c r="H57" s="80">
        <f t="shared" si="11"/>
        <v>1474.154887</v>
      </c>
      <c r="I57" s="75">
        <f>IF(J4="Nova",(H57/C57)*H4,0)+IF(J4="Nova+Magma",(H57/C57)*H4,0)+IF(J4="Nova+Searing",(H57/C57)*H4,0)</f>
        <v>98.27699243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2">I57/$B$23</f>
        <v>0.05544870453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2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IF(F22,C67,0)+IF(F21,C66,0)+IF(F23,C68,0)+IF(F9,C69,0)+IF(F24,C70,0)+IF(L23,D112,0)+IF(G86,D86,0)</f>
        <v>18.00479193</v>
      </c>
      <c r="J59" s="75">
        <f>I59*(IF($J$3="Rockbiter",1+U3,1)+IF(AND($J$3="Rockbiter",$F$11),U3*U4,0))*IF($J$6,0.75,1)*IF($J$7,0.8,1)*IF($F$17,1.02,1)*IF($F$18,0.98,1)*(1+U5)</f>
        <v>13.23352207</v>
      </c>
      <c r="K59" s="18">
        <f t="shared" si="12"/>
        <v>0.01015845482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858.7673682</v>
      </c>
      <c r="D61" s="103">
        <f>$H$50*2/15</f>
        <v>230.1199728</v>
      </c>
      <c r="E61" s="103">
        <f>IF($H$6,IF($J$2="Lightning",$H$53/$H$7,0),0)+IF(J2="Lightning",I48,0)+(($H$51+$H$52)/15)+IF(F21,C66,0)+IF(F22,C67,0)+IF(F9,IF(H6,C69,0),0)+IF(F23,C68,0)+IF(F24,C70,0)+IF(G86,D86,0)+IF(L23,D112,0)+IF(F28="Molten Blast",E119,0)+IF(F28="Lightning Bolt",E116,0)</f>
        <v>395.380143</v>
      </c>
      <c r="F61" s="103">
        <f>IF(J4="Magma",I56,0)+IF($J$4="Searing",I55,0)+IF($J$4="Nova",I57,0)+B76+B77</f>
        <v>288.1272594</v>
      </c>
      <c r="G61" s="103">
        <f>SUM(C61,D61,E61,F61)</f>
        <v>1772.394743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1765.405018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1175.505691</v>
      </c>
      <c r="J61" s="103"/>
      <c r="K61" s="103"/>
      <c r="L61" s="103"/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858.7673682</v>
      </c>
      <c r="D62" s="103">
        <f>$H$50/5</f>
        <v>345.1799593</v>
      </c>
      <c r="E62" s="103">
        <f>IF($H$6,IF($J$2="Lightning",$H$53/$H$7,0),0)+IF(J2="Lightning",I48,0)+IF(F21,C66,0)+IF(F22,C67,0)+IF(F9,IF(H6,C69,0),0)+IF(F24,C70,0)+IF(G86,D86,0)+IF(L23,D112,0)+IF(F26="Molten Blast",E119,0)+IF(F26="Lightning Bolt",E116,0)</f>
        <v>139.5674365</v>
      </c>
      <c r="F62" s="103">
        <f>IF(J4="Magma",I56,0)+IF($J$4="Searing",I55,0)+IF($J$4="Nova",I57,0)+B76+B77</f>
        <v>288.1272594</v>
      </c>
      <c r="G62" s="103">
        <f>C62+D62+E62+F62</f>
        <v>1631.642023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1624.652297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1114.336987</v>
      </c>
      <c r="J62" s="103"/>
      <c r="K62" s="103"/>
      <c r="L62" s="103"/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743.0815223</v>
      </c>
      <c r="C66" s="112">
        <f>(B66*((((60/C43)+(60/C46)+(60/C49)+IF(J3="Windfury",60/C44,0))*1-$P$2)*0.185))/60</f>
        <v>78.85028982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1281.952855</v>
      </c>
      <c r="C67" s="103">
        <f>(B67*((((60/C43)+(60/C46)+(60/C49)+IF(J3="Windfury",60/C44,0))*(1-P2))*0.08633)/60)</f>
        <v>60.02152194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0.3562093439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12.21582482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36.77758814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361.5946387</v>
      </c>
      <c r="C70" s="103">
        <f>((B70/C43)*K66+(B70/C46)*K66+(B70/C49)*K66+IF(J3="Windfury",(B70/C44)*K66,0))*(1-SUM(P2:P3))</f>
        <v>14.11977212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((60/C45)+(60/C46)+(60/C49))*(0.83+$N$18)*(1-$P$2)</f>
        <v>31.67168257</v>
      </c>
      <c r="B72" s="8">
        <v>0.0</v>
      </c>
      <c r="C72" s="88">
        <f>(60/C46)*(1-P2)</f>
        <v>6.293333333</v>
      </c>
      <c r="D72" s="88">
        <f>(60/5)*(0.83+$N$18)</f>
        <v>11.67959876</v>
      </c>
      <c r="E72" s="88">
        <f>IF($F$23,$A$72*0.08,0)</f>
        <v>0</v>
      </c>
      <c r="F72" s="88">
        <f>$A$72*($F$26*1)</f>
        <v>31.67168257</v>
      </c>
      <c r="G72" s="88">
        <f>SUM(A72:E72)</f>
        <v>49.64461466</v>
      </c>
      <c r="H72" s="88">
        <f>SUM(A72:F72)</f>
        <v>81.31629723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288.1272594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12"/>
      <c r="B85" s="12" t="s">
        <v>266</v>
      </c>
      <c r="C85" s="130" t="s">
        <v>229</v>
      </c>
      <c r="D85" s="131" t="s">
        <v>163</v>
      </c>
      <c r="E85" s="131" t="s">
        <v>267</v>
      </c>
      <c r="F85" s="130" t="s">
        <v>268</v>
      </c>
      <c r="G85" s="130" t="s">
        <v>269</v>
      </c>
      <c r="H85" s="71"/>
      <c r="I85" s="126"/>
      <c r="J85" s="126"/>
      <c r="K85" s="71"/>
      <c r="L85" s="2"/>
      <c r="M85" s="2"/>
      <c r="O85" s="18"/>
    </row>
    <row r="86">
      <c r="A86" s="130" t="s">
        <v>270</v>
      </c>
      <c r="B86" s="71">
        <f>(250+(N16*0.4286))*IF(J3="Flametongue",1.3,1)*(1+(D17*0.05))*IF(H19,1.15,1)*IF(H18,1.1,1)*IF(H20,1.05,1)</f>
        <v>1103.294668</v>
      </c>
      <c r="C86" s="130">
        <f>IF(AND(J3="Flametongue",F26=0),A72*0.2,0)+IF(AND(J3="Flametongue",F26=1),A72*0.36,0)+IF(AND(J3="Flametongue",F26=2),A72*0.488,0)+IF(AND(J3="Flametongue",F26=3),A72*0.5904,0)+D72*0.2</f>
        <v>13.73772548</v>
      </c>
      <c r="D86" s="132">
        <f>(B86*C86/60)*(0.83+N18)*P13*((1-$P$15*0.0025))</f>
        <v>231.1157982</v>
      </c>
      <c r="E86" s="132">
        <f>(B86*C86/60)*(1-(F86*0.0025))*(0.88)</f>
        <v>119.4857856</v>
      </c>
      <c r="F86" s="133">
        <f>'Main(manual)'!F86</f>
        <v>185</v>
      </c>
      <c r="G86" s="133" t="b">
        <f>'Main(manual)'!G86</f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121.5626446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626.7825374</v>
      </c>
      <c r="C112" s="88">
        <f>(60/C43)*0.05+(60/C46)*0.05+(60/C49)*0.05+IF(J3="Windfury",(60/C44)*0.05,0)</f>
        <v>1.723544373</v>
      </c>
      <c r="D112" s="88">
        <f>(B112*C112)/60</f>
        <v>18.00479193</v>
      </c>
      <c r="E112" s="88">
        <f>0.33*IF(J3="Flametongue",1.3,1)*(1+(0.05*D12))*(1+(N17/2))*(0.83+N18)*P13*(1-SUM(P2:P3))*IF(H18,1.1,1)*IF(H19,1.15,1)*IF(H20,1.1,1)</f>
        <v>0.6468758164</v>
      </c>
      <c r="F112" s="88">
        <f>(E112*C112)/60</f>
        <v>0.01858198623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</row>
    <row r="116">
      <c r="A116" s="8" t="s">
        <v>281</v>
      </c>
      <c r="B116" s="75">
        <f>(AVERAGE(450,501)+N15*(3/3.5))*1.05*1.1*1.1666*1.05*(1+(N17))*(0.83+N18)*P13</f>
        <v>1697.987943</v>
      </c>
      <c r="C116" s="88">
        <f t="shared" ref="C116:C118" si="13">2.4/(60/1.6)</f>
        <v>0.064</v>
      </c>
      <c r="D116" s="75">
        <f>C116*(60/C43+IF(J3="Windfury",60/C44,0)+60/C46+60/C49)*(1-P2)</f>
        <v>2.082593137</v>
      </c>
      <c r="E116" s="75">
        <f t="shared" ref="E116:E118" si="14">B116*D116/60</f>
        <v>58.9369673</v>
      </c>
    </row>
    <row r="117">
      <c r="A117" s="8" t="s">
        <v>282</v>
      </c>
      <c r="B117" s="75">
        <f>(AVERAGE(493,552)+N15*(2.5/3.5))*1.05*1.1*1.1666*1.05*(1+(N17))*(0.83+N18)*P13</f>
        <v>1608.158985</v>
      </c>
      <c r="C117" s="88">
        <f t="shared" si="13"/>
        <v>0.064</v>
      </c>
      <c r="D117" s="75">
        <f>C116*(60/C43+IF(J3="Windfury",60/C44,0)+60/C46+60/C49)*(1-P2)</f>
        <v>2.082593137</v>
      </c>
      <c r="E117" s="75">
        <f t="shared" si="14"/>
        <v>55.81901441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1701.39201</v>
      </c>
      <c r="C118" s="139">
        <f t="shared" si="13"/>
        <v>0.064</v>
      </c>
      <c r="D118" s="138">
        <f>C116*(60/C43+IF(J3="Windfury",60/C44,0)+60/C46+60/C49)*(1-P2)</f>
        <v>2.082593137</v>
      </c>
      <c r="E118" s="138">
        <f t="shared" si="14"/>
        <v>59.05512205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1729.464858</v>
      </c>
      <c r="C119" s="4"/>
      <c r="D119" s="4"/>
      <c r="E119" s="138">
        <f>E118+(B119*D118/60)</f>
        <v>119.0846495</v>
      </c>
    </row>
    <row r="120">
      <c r="A120" s="4" t="s">
        <v>285</v>
      </c>
      <c r="B120" s="140">
        <f>'Main(manual)'!B120</f>
        <v>0.6</v>
      </c>
      <c r="C120" s="4"/>
      <c r="D120" s="4"/>
      <c r="E120" s="141"/>
    </row>
    <row r="121">
      <c r="A121" s="8" t="s">
        <v>286</v>
      </c>
      <c r="B121" s="140" t="b">
        <f>'Main(manual)'!B121</f>
        <v>1</v>
      </c>
      <c r="E121" s="75"/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2:D19">
      <formula1>"0,1,2,3,4,5"</formula1>
    </dataValidation>
    <dataValidation type="list" allowBlank="1" showErrorMessage="1" sqref="F28">
      <formula1>"None,Molten Blast,Lightning Bolt"</formula1>
    </dataValidation>
    <dataValidation type="list" allowBlank="1" showErrorMessage="1" sqref="F26">
      <formula1>"None,1,2"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148">
        <f>Table4[[#TOTALS],[Strength]]</f>
        <v>236</v>
      </c>
      <c r="C2" s="10" t="s">
        <v>10</v>
      </c>
      <c r="D2" s="11">
        <v>5.0</v>
      </c>
      <c r="E2" s="10" t="s">
        <v>11</v>
      </c>
      <c r="F2" s="149">
        <f>VLOOKUP(GearInputs!B16,Weapon_Data_2[],3,False)</f>
        <v>242</v>
      </c>
      <c r="G2" s="4" t="s">
        <v>12</v>
      </c>
      <c r="H2" s="9">
        <v>90.0</v>
      </c>
      <c r="I2" s="12" t="s">
        <v>13</v>
      </c>
      <c r="J2" s="13" t="s">
        <v>289</v>
      </c>
      <c r="K2" s="4" t="s">
        <v>14</v>
      </c>
      <c r="L2" s="19">
        <v>2.0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17,1+(0.05*$R$2),1)+IF(F20,((100*(1+(D2*0.01))*IF(J10,1.1,1))*P24*IF(F17,1+(0.05*$R$2),1)),0)+IF(F25,((50*(1+(D2*0.01))*IF(J10,1.1,1))*R3*IF(F17,1+(0.05*$R$2),1)),0),0)</f>
        <v>605</v>
      </c>
      <c r="O2" s="10" t="s">
        <v>16</v>
      </c>
      <c r="P2" s="16">
        <f>10%+((H3-60)*1.5%)-(MIN(B8-300,15)*0.001)-MIN($N$6,((H3-60)*1%)+5%)</f>
        <v>0.053</v>
      </c>
      <c r="Q2" s="8" t="s">
        <v>17</v>
      </c>
      <c r="R2" s="17">
        <f>1 - EXP(
  -(
     (0.1 * (1 - SUM(P2:P3)) / C43) + IF(AND(J3="Windfury",C44&gt;0),(0.1 * (1 - SUM(P2:P3)) / C44),0)
   ) * 12
)</f>
        <v>0.4987849658</v>
      </c>
      <c r="T2" s="8" t="s">
        <v>18</v>
      </c>
      <c r="U2" s="18">
        <f>D4*0.45</f>
        <v>0</v>
      </c>
    </row>
    <row r="3">
      <c r="A3" s="8" t="s">
        <v>19</v>
      </c>
      <c r="B3" s="148">
        <f>Table4[[#TOTALS],[AP]]</f>
        <v>198</v>
      </c>
      <c r="C3" s="10" t="s">
        <v>20</v>
      </c>
      <c r="D3" s="11">
        <v>5.0</v>
      </c>
      <c r="E3" s="10" t="s">
        <v>21</v>
      </c>
      <c r="F3" s="149">
        <f>VLOOKUP(GearInputs!B16,Weapon_Data_2[],4,False)</f>
        <v>366</v>
      </c>
      <c r="G3" s="4" t="s">
        <v>22</v>
      </c>
      <c r="H3" s="9">
        <v>63.0</v>
      </c>
      <c r="I3" s="12" t="s">
        <v>23</v>
      </c>
      <c r="J3" s="13" t="s">
        <v>290</v>
      </c>
      <c r="K3" s="4" t="s">
        <v>24</v>
      </c>
      <c r="L3" s="19">
        <v>2.0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$12),653*U4,0)+IF($J$25,(120*(15/MAX(H2,15))))+IF($J$28,(260*(20/MAX(H2,20))))+IF($J$29,(200*(20/MAX(H2,20))))))*IF($J$15,1.05,1),0)</f>
        <v>2075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0.5574408794</v>
      </c>
      <c r="T3" s="8" t="s">
        <v>27</v>
      </c>
      <c r="U3" s="21">
        <v>0.35</v>
      </c>
    </row>
    <row r="4">
      <c r="A4" s="8" t="s">
        <v>28</v>
      </c>
      <c r="B4" s="148">
        <f>Table4[[#TOTALS],[Agility]]</f>
        <v>195</v>
      </c>
      <c r="C4" s="10" t="s">
        <v>18</v>
      </c>
      <c r="D4" s="11">
        <v>0.0</v>
      </c>
      <c r="E4" s="10" t="s">
        <v>29</v>
      </c>
      <c r="F4" s="9">
        <f>VLOOKUP(GearInputs!B16,Weapon_Data_2[],2,False)</f>
        <v>3.6</v>
      </c>
      <c r="G4" s="4" t="s">
        <v>30</v>
      </c>
      <c r="H4" s="9">
        <v>1.0</v>
      </c>
      <c r="I4" s="8" t="s">
        <v>31</v>
      </c>
      <c r="J4" s="22" t="s">
        <v>291</v>
      </c>
      <c r="K4" s="4" t="s">
        <v>32</v>
      </c>
      <c r="L4" s="23">
        <v>0.0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470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150">
        <f>Table4[[#TOTALS],[Crit ]]</f>
        <v>0.16</v>
      </c>
      <c r="C5" s="10" t="s">
        <v>37</v>
      </c>
      <c r="D5" s="11">
        <v>3.0</v>
      </c>
      <c r="E5" s="10" t="s">
        <v>38</v>
      </c>
      <c r="F5" s="11" t="b">
        <v>0</v>
      </c>
      <c r="G5" s="12" t="s">
        <v>39</v>
      </c>
      <c r="H5" s="9" t="b">
        <v>1</v>
      </c>
      <c r="I5" s="8" t="s">
        <v>40</v>
      </c>
      <c r="J5" s="9" t="b">
        <v>0</v>
      </c>
      <c r="K5" s="4" t="s">
        <v>41</v>
      </c>
      <c r="L5" s="9" t="b">
        <v>1</v>
      </c>
      <c r="M5" s="8" t="s">
        <v>36</v>
      </c>
      <c r="N5" s="26">
        <f>$N$4/2000+($D$3/100)+IF($L$6,0.02,0)+IF(J14,0.03,0)+B5+0.017+(0.0004*($B$8-300))</f>
        <v>0.5168</v>
      </c>
      <c r="O5" s="10" t="s">
        <v>42</v>
      </c>
      <c r="P5" s="26">
        <f>10%+(10%*($H$3-60))</f>
        <v>0.4</v>
      </c>
      <c r="T5" s="8" t="s">
        <v>43</v>
      </c>
      <c r="U5" s="18">
        <f>0.05*D18*F21</f>
        <v>0</v>
      </c>
    </row>
    <row r="6">
      <c r="A6" s="8" t="s">
        <v>44</v>
      </c>
      <c r="B6" s="150">
        <f>Table4[[#TOTALS],[Hit ]]</f>
        <v>0.04</v>
      </c>
      <c r="C6" s="10" t="s">
        <v>45</v>
      </c>
      <c r="D6" s="11">
        <v>5.0</v>
      </c>
      <c r="E6" s="10" t="s">
        <v>46</v>
      </c>
      <c r="F6" s="11" t="b">
        <v>0</v>
      </c>
      <c r="G6" s="10" t="s">
        <v>47</v>
      </c>
      <c r="H6" s="11" t="b">
        <v>1</v>
      </c>
      <c r="I6" s="4" t="s">
        <v>48</v>
      </c>
      <c r="J6" s="9" t="b">
        <v>1</v>
      </c>
      <c r="K6" s="12" t="s">
        <v>49</v>
      </c>
      <c r="L6" s="9" t="b">
        <v>1</v>
      </c>
      <c r="M6" s="8" t="s">
        <v>44</v>
      </c>
      <c r="N6" s="16">
        <f>$B$6+($D$11/100)+(B8-300)*0.002</f>
        <v>0.094</v>
      </c>
      <c r="O6" s="10" t="s">
        <v>50</v>
      </c>
      <c r="P6" s="27">
        <v>38.0</v>
      </c>
      <c r="T6" s="8" t="s">
        <v>51</v>
      </c>
      <c r="U6" s="18">
        <f>0.125*D7</f>
        <v>0.25</v>
      </c>
    </row>
    <row r="7">
      <c r="A7" s="8" t="s">
        <v>52</v>
      </c>
      <c r="B7" s="151">
        <f>Table4[[#TOTALS],[Haste ]]</f>
        <v>0.082644412</v>
      </c>
      <c r="C7" s="10" t="s">
        <v>51</v>
      </c>
      <c r="D7" s="11">
        <v>2.0</v>
      </c>
      <c r="E7" s="10" t="s">
        <v>53</v>
      </c>
      <c r="F7" s="11" t="b">
        <v>0</v>
      </c>
      <c r="G7" s="12" t="s">
        <v>54</v>
      </c>
      <c r="H7" s="9">
        <v>4.0</v>
      </c>
      <c r="I7" s="4" t="s">
        <v>55</v>
      </c>
      <c r="J7" s="9" t="b">
        <v>0</v>
      </c>
      <c r="K7" s="12" t="s">
        <v>56</v>
      </c>
      <c r="L7" s="9" t="b">
        <v>1</v>
      </c>
      <c r="M7" s="8" t="s">
        <v>52</v>
      </c>
      <c r="N7" s="16">
        <f>(1+B7)*IF(F17,1+(0.1*R2),1)*IF($L$12,1.02,1)*IF($J$17,MIN(1+(0.2*(30/H2)),1.2),1)*(1+((IF(D6&gt;=1,0.05,0)+($D$6*0.03))*P18))*(1+(0.08*$P$21))*IF($J$24,1+(0.1*(10/H2)),1)*IF($J$27,MIN(1+(0.2*(15/H2)),1.2),1)-1</f>
        <v>0.3534603494</v>
      </c>
      <c r="O7" s="10" t="s">
        <v>57</v>
      </c>
      <c r="P7" s="26">
        <f>MIN(65%+((B8-300)*2%),95%                                                    )</f>
        <v>0.89</v>
      </c>
      <c r="T7" s="8" t="s">
        <v>37</v>
      </c>
      <c r="U7" s="18">
        <f>0.0833*D5*NOT(F21)</f>
        <v>0.2499</v>
      </c>
    </row>
    <row r="8">
      <c r="A8" s="8" t="s">
        <v>58</v>
      </c>
      <c r="B8" s="148">
        <f>300+IF(B20,5)+IF(B21,3)+Table4[[#TOTALS],[Weapon Skill]]</f>
        <v>312</v>
      </c>
      <c r="C8" s="8" t="s">
        <v>59</v>
      </c>
      <c r="D8" s="11">
        <v>5.0</v>
      </c>
      <c r="E8" s="8" t="s">
        <v>60</v>
      </c>
      <c r="F8" s="11" t="b">
        <v>0</v>
      </c>
      <c r="G8" s="12" t="s">
        <v>61</v>
      </c>
      <c r="H8" s="9">
        <v>4211.0</v>
      </c>
      <c r="I8" s="4" t="s">
        <v>62</v>
      </c>
      <c r="J8" s="9" t="b">
        <v>1</v>
      </c>
      <c r="K8" s="4" t="s">
        <v>63</v>
      </c>
      <c r="L8" s="9" t="b">
        <v>0</v>
      </c>
      <c r="M8" s="8" t="s">
        <v>64</v>
      </c>
      <c r="N8" s="24">
        <f>ROUNDDOWN(($B$10+IF(B19="Tauren",85,86)+IF(B19="Troll",1,0)+IF($J$18,31,0)+IF($J$11,16,0))*IF($J$10,1.1,1)*(1+($D$2*0.01)),0)</f>
        <v>274</v>
      </c>
      <c r="O8" s="10" t="s">
        <v>65</v>
      </c>
      <c r="P8" s="16">
        <f>100%-SUM(P2:P5)-MIN(P9,N5-((H3-60)*0.01))</f>
        <v>0.0602</v>
      </c>
      <c r="T8" s="8" t="s">
        <v>59</v>
      </c>
      <c r="U8" s="18">
        <f>0.02*D8</f>
        <v>0.1</v>
      </c>
    </row>
    <row r="9">
      <c r="A9" s="8" t="s">
        <v>66</v>
      </c>
      <c r="B9" s="152">
        <f>Table4[[#TOTALS],[Armor Pen]]-100+500</f>
        <v>400</v>
      </c>
      <c r="C9" s="10" t="s">
        <v>67</v>
      </c>
      <c r="D9" s="11">
        <v>5.0</v>
      </c>
      <c r="E9" s="8" t="s">
        <v>68</v>
      </c>
      <c r="F9" s="11" t="b">
        <v>0</v>
      </c>
      <c r="G9" s="12" t="s">
        <v>69</v>
      </c>
      <c r="H9" s="9" t="b">
        <v>1</v>
      </c>
      <c r="I9" s="4" t="s">
        <v>70</v>
      </c>
      <c r="J9" s="9" t="b">
        <v>1</v>
      </c>
      <c r="K9" s="4" t="s">
        <v>71</v>
      </c>
      <c r="L9" s="149" t="b"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0.547</v>
      </c>
      <c r="T9" s="8" t="s">
        <v>74</v>
      </c>
      <c r="U9" s="18">
        <f>J23*0.25</f>
        <v>0.25</v>
      </c>
    </row>
    <row r="10">
      <c r="A10" s="8" t="s">
        <v>75</v>
      </c>
      <c r="B10" s="148">
        <f>Table4[[#TOTALS],[Int]]</f>
        <v>106</v>
      </c>
      <c r="C10" s="10" t="s">
        <v>76</v>
      </c>
      <c r="D10" s="11">
        <v>0.0</v>
      </c>
      <c r="E10" s="8" t="s">
        <v>182</v>
      </c>
      <c r="F10" s="53" t="b">
        <v>0</v>
      </c>
      <c r="G10" s="12" t="s">
        <v>78</v>
      </c>
      <c r="H10" s="9" t="b">
        <v>1</v>
      </c>
      <c r="I10" s="4" t="s">
        <v>79</v>
      </c>
      <c r="J10" s="9" t="b">
        <v>1</v>
      </c>
      <c r="K10" s="12" t="s">
        <v>80</v>
      </c>
      <c r="L10" s="9" t="b">
        <v>0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0.4868</v>
      </c>
    </row>
    <row r="11">
      <c r="A11" s="8" t="s">
        <v>72</v>
      </c>
      <c r="B11" s="153">
        <f>Table4[[#TOTALS],[MP5]]</f>
        <v>0</v>
      </c>
      <c r="C11" s="10" t="s">
        <v>83</v>
      </c>
      <c r="D11" s="11">
        <v>3.0</v>
      </c>
      <c r="E11" s="10" t="s">
        <v>77</v>
      </c>
      <c r="F11" s="11" t="b">
        <v>0</v>
      </c>
      <c r="G11" s="12" t="s">
        <v>85</v>
      </c>
      <c r="H11" s="9" t="b">
        <v>1</v>
      </c>
      <c r="I11" s="4" t="s">
        <v>86</v>
      </c>
      <c r="J11" s="9" t="b">
        <v>1</v>
      </c>
      <c r="K11" s="12" t="s">
        <v>87</v>
      </c>
      <c r="L11" s="9" t="b">
        <v>1</v>
      </c>
      <c r="M11" s="8" t="s">
        <v>88</v>
      </c>
      <c r="N11" s="16">
        <f>$B$13+IF($J$20,0.05,0)</f>
        <v>0.05</v>
      </c>
      <c r="O11" s="10" t="s">
        <v>89</v>
      </c>
      <c r="P11" s="145">
        <f>H8-B9-IF(H9,2250,0)-IF(H12,2550,0)+IF(AND(H9,H12),2250,0)-IF(H10,640,0)-IF(H11,505,0)</f>
        <v>116</v>
      </c>
    </row>
    <row r="12">
      <c r="A12" s="8" t="s">
        <v>90</v>
      </c>
      <c r="B12" s="148">
        <f>Table4[[#TOTALS],[Spirit]]</f>
        <v>4</v>
      </c>
      <c r="C12" s="10" t="s">
        <v>91</v>
      </c>
      <c r="D12" s="11">
        <v>3.0</v>
      </c>
      <c r="E12" s="10" t="s">
        <v>84</v>
      </c>
      <c r="F12" s="11" t="b">
        <v>0</v>
      </c>
      <c r="G12" s="12" t="s">
        <v>93</v>
      </c>
      <c r="H12" s="9" t="b">
        <v>1</v>
      </c>
      <c r="I12" s="12" t="s">
        <v>94</v>
      </c>
      <c r="J12" s="9" t="b">
        <v>1</v>
      </c>
      <c r="K12" s="12" t="s">
        <v>95</v>
      </c>
      <c r="L12" s="9" t="b">
        <v>0</v>
      </c>
      <c r="M12" s="8" t="s">
        <v>96</v>
      </c>
      <c r="N12" s="24">
        <f>(17+(($N$10/5)*$N$11)+($N$9/2.5))+IF($J$22,10,0)+IF($J$21,15.6,0)</f>
        <v>45.04</v>
      </c>
      <c r="O12" s="31" t="s">
        <v>97</v>
      </c>
      <c r="P12" s="32">
        <f>P11 / (P11 + 400 + 85 * 60)</f>
        <v>0.02065527066</v>
      </c>
    </row>
    <row r="13">
      <c r="A13" s="8" t="s">
        <v>88</v>
      </c>
      <c r="B13" s="151">
        <f>Table4[[#TOTALS],[Meditation]]</f>
        <v>0</v>
      </c>
      <c r="C13" s="10" t="s">
        <v>98</v>
      </c>
      <c r="D13" s="11">
        <v>3.0</v>
      </c>
      <c r="E13" s="10" t="s">
        <v>92</v>
      </c>
      <c r="F13" s="11" t="b">
        <v>1</v>
      </c>
      <c r="G13" s="12" t="s">
        <v>100</v>
      </c>
      <c r="H13" s="9" t="b">
        <v>0</v>
      </c>
      <c r="I13" s="12" t="s">
        <v>101</v>
      </c>
      <c r="J13" s="9" t="b">
        <v>1</v>
      </c>
      <c r="K13" s="12" t="s">
        <v>102</v>
      </c>
      <c r="L13" s="9" t="b">
        <v>0</v>
      </c>
      <c r="M13" s="8" t="s">
        <v>103</v>
      </c>
      <c r="N13" s="24">
        <f>1240+($N$8*15)</f>
        <v>5350</v>
      </c>
      <c r="O13" s="4" t="s">
        <v>104</v>
      </c>
      <c r="P13" s="16">
        <f>1-(($H$3-60)*0.02)</f>
        <v>0.94</v>
      </c>
    </row>
    <row r="14">
      <c r="A14" s="8" t="s">
        <v>105</v>
      </c>
      <c r="B14" s="153">
        <f>Table4[[#TOTALS],[Spell Pen]]</f>
        <v>0</v>
      </c>
      <c r="C14" s="10" t="s">
        <v>106</v>
      </c>
      <c r="D14" s="11">
        <v>2.0</v>
      </c>
      <c r="E14" s="10" t="s">
        <v>99</v>
      </c>
      <c r="F14" s="11" t="b">
        <v>1</v>
      </c>
      <c r="G14" s="12" t="s">
        <v>108</v>
      </c>
      <c r="H14" s="9" t="b">
        <v>0</v>
      </c>
      <c r="I14" s="12" t="s">
        <v>109</v>
      </c>
      <c r="J14" s="9" t="b">
        <v>1</v>
      </c>
      <c r="K14" s="35" t="s">
        <v>110</v>
      </c>
      <c r="L14" s="53" t="b">
        <v>1</v>
      </c>
      <c r="M14" s="8" t="s">
        <v>111</v>
      </c>
      <c r="N14" s="28">
        <f>N13+(L2*2250)+(L3*1350)+(L4*1550)+(H2/2*N12)+((N19*59/60)*H2)+IF(J2="Water",130*(H2/H7),0)</f>
        <v>16698.64082</v>
      </c>
      <c r="O14" s="4" t="s">
        <v>112</v>
      </c>
      <c r="P14" s="28">
        <f>(MAX($H$15-$B$14-IF($H$17,25,0),0))</f>
        <v>0</v>
      </c>
    </row>
    <row r="15">
      <c r="A15" s="8" t="s">
        <v>113</v>
      </c>
      <c r="B15" s="153">
        <f>Table4[[#TOTALS],[Nature Spellpower]]+Table4[[#TOTALS],[Spellpower]]</f>
        <v>0</v>
      </c>
      <c r="C15" s="10" t="s">
        <v>114</v>
      </c>
      <c r="D15" s="11">
        <v>1.0</v>
      </c>
      <c r="E15" s="34" t="s">
        <v>107</v>
      </c>
      <c r="F15" s="9" t="b">
        <v>1</v>
      </c>
      <c r="G15" s="4" t="s">
        <v>116</v>
      </c>
      <c r="H15" s="9">
        <v>15.0</v>
      </c>
      <c r="I15" s="12" t="s">
        <v>117</v>
      </c>
      <c r="J15" s="9" t="b">
        <v>0</v>
      </c>
      <c r="K15" s="35" t="s">
        <v>118</v>
      </c>
      <c r="L15" s="53" t="b">
        <v>0</v>
      </c>
      <c r="M15" s="8" t="s">
        <v>113</v>
      </c>
      <c r="N15" s="15">
        <f>B15+IF(L16,150,0)+IF(L17,35,0)+IF(L18,55,0)+IF(L20,35,0)+IF(L21,15,0)+IF(L22,22,0)+IF(F26,132*P22,0)+IF($J$25,(60*(15/MAX(H2,15))))</f>
        <v>65</v>
      </c>
      <c r="O15" s="4" t="s">
        <v>119</v>
      </c>
      <c r="P15" s="28">
        <f>(MAX($H$16-$B$14-IF($H$18,75,0),0))</f>
        <v>110</v>
      </c>
    </row>
    <row r="16">
      <c r="A16" s="8" t="s">
        <v>120</v>
      </c>
      <c r="B16" s="153">
        <f>Table4[[#TOTALS],[Fire Spellpower]]+Table4[[#TOTALS],[Spellpower]]</f>
        <v>0</v>
      </c>
      <c r="C16" s="10" t="s">
        <v>121</v>
      </c>
      <c r="D16" s="11">
        <v>0.0</v>
      </c>
      <c r="E16" s="8" t="s">
        <v>115</v>
      </c>
      <c r="F16" s="9" t="b">
        <v>0</v>
      </c>
      <c r="G16" s="12" t="s">
        <v>123</v>
      </c>
      <c r="H16" s="9">
        <v>185.0</v>
      </c>
      <c r="I16" s="34" t="s">
        <v>124</v>
      </c>
      <c r="J16" s="53" t="b">
        <v>0</v>
      </c>
      <c r="K16" s="4" t="s">
        <v>125</v>
      </c>
      <c r="L16" s="11" t="b">
        <v>0</v>
      </c>
      <c r="M16" s="8" t="s">
        <v>120</v>
      </c>
      <c r="N16" s="15">
        <f>B16+IF(L16,150,0)+IF(L17,35,0)+IF(L19,40,0)+IF(L20,35,0)+IF(L21,15,0)+IF(L22,22,0)+IF(F26,132*P22,0)+IF($J$25,(60*(15/MAX(H2,15))))</f>
        <v>10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0.9836591888</v>
      </c>
    </row>
    <row r="17">
      <c r="A17" s="8" t="s">
        <v>127</v>
      </c>
      <c r="B17" s="151">
        <f>Table4[[#TOTALS],[Spell Crit]]</f>
        <v>0</v>
      </c>
      <c r="C17" s="8" t="s">
        <v>128</v>
      </c>
      <c r="D17" s="11">
        <v>0.0</v>
      </c>
      <c r="E17" s="8" t="s">
        <v>122</v>
      </c>
      <c r="F17" s="9" t="b">
        <v>0</v>
      </c>
      <c r="G17" s="4" t="s">
        <v>130</v>
      </c>
      <c r="H17" s="9" t="b">
        <v>1</v>
      </c>
      <c r="I17" s="12" t="s">
        <v>131</v>
      </c>
      <c r="J17" s="9" t="b">
        <v>1</v>
      </c>
      <c r="K17" s="4" t="s">
        <v>132</v>
      </c>
      <c r="L17" s="11" t="b">
        <v>0</v>
      </c>
      <c r="M17" s="8" t="s">
        <v>127</v>
      </c>
      <c r="N17" s="16">
        <f>B17+(($N$8)/59.2)%+(IF(L21,2%,0))+3.53%+(IF(J16,3%,0))</f>
        <v>0.08158378378</v>
      </c>
      <c r="O17" s="10" t="s">
        <v>133</v>
      </c>
      <c r="P17" s="16">
        <f>IF(D15,1-(((1-$P$10)^(5/C43))*(1-(1-SUM($P$2,$P$3))*$P$10)^2)*((1-MIN(IF($H$3=63,0.83+$N$18,0.96+$N$18-(($H$3-60)*0.01)),0.99)*($N$17+IF($F$11,0.1,0)+U8+IF($F$13,5%,0)))^2),0)</f>
        <v>0.9498171922</v>
      </c>
    </row>
    <row r="18">
      <c r="A18" s="8" t="s">
        <v>134</v>
      </c>
      <c r="B18" s="151">
        <f>Table4[[#TOTALS],[Spell Hit]]</f>
        <v>0</v>
      </c>
      <c r="C18" s="10" t="s">
        <v>43</v>
      </c>
      <c r="D18" s="11">
        <v>0.0</v>
      </c>
      <c r="E18" s="10" t="s">
        <v>129</v>
      </c>
      <c r="F18" s="11" t="b">
        <v>0</v>
      </c>
      <c r="G18" s="4" t="s">
        <v>136</v>
      </c>
      <c r="H18" s="9" t="b">
        <v>1</v>
      </c>
      <c r="I18" s="4" t="s">
        <v>137</v>
      </c>
      <c r="J18" s="9" t="b">
        <v>1</v>
      </c>
      <c r="K18" s="4" t="s">
        <v>138</v>
      </c>
      <c r="L18" s="11" t="b">
        <v>1</v>
      </c>
      <c r="M18" s="8" t="s">
        <v>134</v>
      </c>
      <c r="N18" s="36">
        <f>$P$16*MIN(B18+(D11*1%)+IF(J20,1%,0)+(D11*0.03),16%)+(1-$P$16)*MIN(B18+(D11*1%)+IF(J20,1%,0),16%)</f>
        <v>0.128529327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0.8600453828</v>
      </c>
    </row>
    <row r="19">
      <c r="A19" s="8" t="s">
        <v>140</v>
      </c>
      <c r="B19" s="154" t="s">
        <v>292</v>
      </c>
      <c r="E19" s="10" t="s">
        <v>135</v>
      </c>
      <c r="F19" s="11" t="b">
        <v>0</v>
      </c>
      <c r="G19" s="4" t="s">
        <v>143</v>
      </c>
      <c r="H19" s="9" t="b">
        <v>1</v>
      </c>
      <c r="I19" s="4" t="s">
        <v>144</v>
      </c>
      <c r="J19" s="9" t="b">
        <v>1</v>
      </c>
      <c r="K19" s="4" t="s">
        <v>145</v>
      </c>
      <c r="L19" s="11" t="b">
        <v>0</v>
      </c>
      <c r="M19" s="8" t="s">
        <v>146</v>
      </c>
      <c r="N19" s="37">
        <f>IF($H$21,((60/C43)+14.166+IF(J3="Windfury",(60/C44),0)+IF(J3="Flametongue",((60/C43)+(60/C46)+(60/C49)),0)+$F$72)*0.5*(1-SUM($P$3,$P$2)),0)</f>
        <v>23.9756025</v>
      </c>
      <c r="O19" s="10" t="s">
        <v>147</v>
      </c>
      <c r="P19" s="15">
        <f>IF(J3="Windfury",((60/C43)+(60/C49)+(60/C46))*0.2*(1-SUM($P$3,$P$2)),0)</f>
        <v>6.955589836</v>
      </c>
    </row>
    <row r="20">
      <c r="A20" s="4" t="s">
        <v>287</v>
      </c>
      <c r="B20" s="9" t="b">
        <v>1</v>
      </c>
      <c r="E20" s="8" t="s">
        <v>142</v>
      </c>
      <c r="F20" s="53" t="b">
        <f>IF(GearInputs!C16="(Crusader) Enchant Weapon - Crusader",TRUE,FALSE)</f>
        <v>1</v>
      </c>
      <c r="G20" s="4" t="s">
        <v>149</v>
      </c>
      <c r="H20" s="9" t="b">
        <v>0</v>
      </c>
      <c r="I20" s="4" t="s">
        <v>150</v>
      </c>
      <c r="J20" s="9" t="b">
        <v>1</v>
      </c>
      <c r="K20" s="4" t="s">
        <v>151</v>
      </c>
      <c r="L20" s="11" t="b">
        <v>0</v>
      </c>
      <c r="N20" s="39"/>
      <c r="O20" s="10" t="s">
        <v>152</v>
      </c>
      <c r="P20" s="26">
        <f>IF($F$5,1-(0.65^(10/$C$51)),0)</f>
        <v>0</v>
      </c>
    </row>
    <row r="21">
      <c r="A21" s="8" t="s">
        <v>288</v>
      </c>
      <c r="B21" s="146" t="b">
        <v>0</v>
      </c>
      <c r="E21" s="34" t="s">
        <v>148</v>
      </c>
      <c r="F21" s="9" t="b">
        <v>0</v>
      </c>
      <c r="G21" s="12" t="s">
        <v>154</v>
      </c>
      <c r="H21" s="11" t="b">
        <v>1</v>
      </c>
      <c r="I21" s="4" t="s">
        <v>155</v>
      </c>
      <c r="J21" s="9" t="b">
        <v>1</v>
      </c>
      <c r="K21" s="4" t="s">
        <v>156</v>
      </c>
      <c r="L21" s="11" t="b">
        <v>0</v>
      </c>
      <c r="O21" s="8" t="s">
        <v>157</v>
      </c>
      <c r="P21" s="36">
        <f>IF($F$6,1-(0.85^(8/$C$46)),0)</f>
        <v>0</v>
      </c>
    </row>
    <row r="22">
      <c r="A22" s="40" t="s">
        <v>158</v>
      </c>
      <c r="B22" s="41">
        <f>$I$61</f>
        <v>987.3890295</v>
      </c>
      <c r="D22" s="40"/>
      <c r="E22" s="10" t="s">
        <v>153</v>
      </c>
      <c r="F22" s="53" t="b">
        <f>IF(GearInputs!B16="Sulfuras, Hand of Ragnaros",TRUE,FALSE)</f>
        <v>0</v>
      </c>
      <c r="I22" s="4" t="s">
        <v>160</v>
      </c>
      <c r="J22" s="9" t="b">
        <v>1</v>
      </c>
      <c r="K22" s="10" t="s">
        <v>161</v>
      </c>
      <c r="L22" s="11" t="b">
        <v>0</v>
      </c>
      <c r="O22" s="8" t="s">
        <v>162</v>
      </c>
      <c r="P22" s="36">
        <f>1-EXP(-(0.05/(60/$H$72))*10)</f>
        <v>0.3559408876</v>
      </c>
    </row>
    <row r="23">
      <c r="A23" s="40" t="s">
        <v>163</v>
      </c>
      <c r="B23" s="43">
        <f>$G$61</f>
        <v>1524.427884</v>
      </c>
      <c r="E23" s="10" t="s">
        <v>159</v>
      </c>
      <c r="F23" s="53" t="b">
        <f>IF(GearInputs!B16="Neretzek",TRUE,FALSE)</f>
        <v>0</v>
      </c>
      <c r="I23" s="12" t="s">
        <v>74</v>
      </c>
      <c r="J23" s="9" t="b">
        <v>1</v>
      </c>
      <c r="O23" s="8" t="s">
        <v>166</v>
      </c>
      <c r="P23" s="36">
        <f>1-EXP(-(0.2/(60/$H$72))*6)</f>
        <v>0.6521261769</v>
      </c>
    </row>
    <row r="24">
      <c r="E24" s="10" t="s">
        <v>164</v>
      </c>
      <c r="F24" s="53" t="b">
        <f>IF(GearInputs!B16="Drake Talon Cleaver",TRUE,FALSE)</f>
        <v>0</v>
      </c>
      <c r="I24" s="12" t="s">
        <v>168</v>
      </c>
      <c r="J24" s="9" t="b">
        <v>0</v>
      </c>
      <c r="O24" s="8" t="s">
        <v>169</v>
      </c>
      <c r="P24" s="44">
        <f>1-EXP(-((E67*(1-SUM(P2:P3))/C43)+IF(J3="Windfury",(E67*(1-SUM(P2:P3))/C44),0)+(E67*(1-SUM(P2:P3))/C46)+(E67*(1-SUM(P2:P3))/C49))*20)</f>
        <v>0.6167381058</v>
      </c>
    </row>
    <row r="25">
      <c r="A25" s="45" t="s">
        <v>170</v>
      </c>
      <c r="B25" s="45" t="s">
        <v>171</v>
      </c>
      <c r="C25" s="45" t="s">
        <v>172</v>
      </c>
      <c r="E25" s="8" t="s">
        <v>167</v>
      </c>
      <c r="F25" s="53" t="b">
        <f>IF(GearInputs!B16="Fist of the Forgotten Order",TRUE,FALSE)</f>
        <v>0</v>
      </c>
      <c r="I25" s="8" t="s">
        <v>174</v>
      </c>
      <c r="J25" s="9" t="b">
        <v>1</v>
      </c>
      <c r="K25" s="46" t="s">
        <v>175</v>
      </c>
      <c r="L25" s="47" t="s">
        <v>176</v>
      </c>
      <c r="M25" s="47" t="s">
        <v>177</v>
      </c>
      <c r="N25" s="48" t="s">
        <v>178</v>
      </c>
      <c r="O25" s="155" t="s">
        <v>175</v>
      </c>
      <c r="P25" s="156" t="s">
        <v>293</v>
      </c>
      <c r="Q25" s="156" t="s">
        <v>177</v>
      </c>
      <c r="R25" s="157" t="s">
        <v>178</v>
      </c>
    </row>
    <row r="26">
      <c r="A26" s="18">
        <f>Sum(K43:K59)</f>
        <v>1</v>
      </c>
      <c r="B26" s="18">
        <f>K43+K46+K49+K44</f>
        <v>0.7115613718</v>
      </c>
      <c r="C26" s="18">
        <f>1-B26</f>
        <v>0.2884386282</v>
      </c>
      <c r="E26" s="8" t="s">
        <v>173</v>
      </c>
      <c r="F26" s="53" t="b">
        <v>0</v>
      </c>
      <c r="I26" s="10" t="s">
        <v>180</v>
      </c>
      <c r="J26" s="9" t="b">
        <v>0</v>
      </c>
      <c r="K26" s="49" t="s">
        <v>181</v>
      </c>
      <c r="L26" s="50">
        <f>(APWeight4!B23-B23)/100</f>
        <v>0.3676773259</v>
      </c>
      <c r="M26" s="51">
        <f t="shared" ref="M26:M40" si="1">L26/$L$26</f>
        <v>1</v>
      </c>
      <c r="N26" s="52">
        <f t="shared" ref="N26:N40" si="2">L26/$L$35</f>
        <v>-0.05250861139</v>
      </c>
      <c r="O26" s="158" t="s">
        <v>181</v>
      </c>
      <c r="P26" s="159">
        <f>(APWeight4!B22-B22)/100</f>
        <v>0.2201576076</v>
      </c>
      <c r="Q26" s="160">
        <f t="shared" ref="Q26:Q40" si="3">P26/$P$26</f>
        <v>1</v>
      </c>
      <c r="R26" s="161">
        <f t="shared" ref="R26:R40" si="4">P26/$P$35</f>
        <v>-0.04213404226</v>
      </c>
    </row>
    <row r="27">
      <c r="E27" s="8" t="s">
        <v>179</v>
      </c>
      <c r="F27" s="11">
        <v>0.0</v>
      </c>
      <c r="I27" s="4" t="s">
        <v>183</v>
      </c>
      <c r="J27" s="9" t="b">
        <v>0</v>
      </c>
      <c r="K27" s="49" t="s">
        <v>184</v>
      </c>
      <c r="L27" s="50">
        <f>(StrWeight4!B23-B23)/100</f>
        <v>0.9009380648</v>
      </c>
      <c r="M27" s="54">
        <f t="shared" si="1"/>
        <v>2.450349807</v>
      </c>
      <c r="N27" s="52">
        <f t="shared" si="2"/>
        <v>-0.1286644658</v>
      </c>
      <c r="O27" s="158" t="s">
        <v>184</v>
      </c>
      <c r="P27" s="159">
        <f>(StrWeight4!B22-B22)/100</f>
        <v>0.5467106512</v>
      </c>
      <c r="Q27" s="162">
        <f t="shared" si="3"/>
        <v>2.483269404</v>
      </c>
      <c r="R27" s="161">
        <f t="shared" si="4"/>
        <v>-0.104630178</v>
      </c>
    </row>
    <row r="28">
      <c r="I28" s="4" t="s">
        <v>186</v>
      </c>
      <c r="J28" s="9" t="b">
        <v>0</v>
      </c>
      <c r="K28" s="49" t="s">
        <v>187</v>
      </c>
      <c r="L28" s="50">
        <f>(AgiWeight4!B23-B23)/100</f>
        <v>0.4396775589</v>
      </c>
      <c r="M28" s="54">
        <f t="shared" si="1"/>
        <v>1.195824512</v>
      </c>
      <c r="N28" s="52">
        <f t="shared" si="2"/>
        <v>-0.0627910846</v>
      </c>
      <c r="O28" s="158" t="s">
        <v>187</v>
      </c>
      <c r="P28" s="159">
        <f>(AgiWeight4!B22-B22)/100</f>
        <v>0.2414359662</v>
      </c>
      <c r="Q28" s="162">
        <f t="shared" si="3"/>
        <v>1.096650571</v>
      </c>
      <c r="R28" s="161">
        <f t="shared" si="4"/>
        <v>-0.04620632151</v>
      </c>
      <c r="V28" s="42"/>
      <c r="W28" s="42"/>
    </row>
    <row r="29">
      <c r="I29" s="4" t="s">
        <v>188</v>
      </c>
      <c r="J29" s="9" t="b">
        <v>0</v>
      </c>
      <c r="K29" s="49" t="s">
        <v>189</v>
      </c>
      <c r="L29" s="50">
        <f>(IntWeight4!B23-B23)/100</f>
        <v>-0.01260426536</v>
      </c>
      <c r="M29" s="54">
        <f t="shared" si="1"/>
        <v>-0.03428077957</v>
      </c>
      <c r="N29" s="52">
        <f t="shared" si="2"/>
        <v>0.001800036133</v>
      </c>
      <c r="O29" s="158" t="s">
        <v>189</v>
      </c>
      <c r="P29" s="159">
        <f>(IntWeight4!B22-B22)/100</f>
        <v>-0.003602742794</v>
      </c>
      <c r="Q29" s="162">
        <f t="shared" si="3"/>
        <v>-0.01636438019</v>
      </c>
      <c r="R29" s="161">
        <f t="shared" si="4"/>
        <v>0.0006894974866</v>
      </c>
      <c r="V29" s="42"/>
      <c r="W29" s="42"/>
    </row>
    <row r="30">
      <c r="K30" s="49" t="s">
        <v>190</v>
      </c>
      <c r="L30" s="50">
        <f>PhysCritWeight4!B23-B23</f>
        <v>5.336058438</v>
      </c>
      <c r="M30" s="54">
        <f t="shared" si="1"/>
        <v>14.51288415</v>
      </c>
      <c r="N30" s="52">
        <f t="shared" si="2"/>
        <v>-0.7620513943</v>
      </c>
      <c r="O30" s="158" t="s">
        <v>190</v>
      </c>
      <c r="P30" s="159">
        <f>PhysCritWeight4!B22-B22</f>
        <v>2.371844219</v>
      </c>
      <c r="Q30" s="162">
        <f t="shared" si="3"/>
        <v>10.77339205</v>
      </c>
      <c r="R30" s="161">
        <f t="shared" si="4"/>
        <v>-0.4539265558</v>
      </c>
      <c r="V30" s="42"/>
      <c r="W30" s="42"/>
    </row>
    <row r="31">
      <c r="K31" s="49" t="s">
        <v>191</v>
      </c>
      <c r="L31" s="50">
        <f>PhysHitWeight4!B23-B23</f>
        <v>-3.630808226</v>
      </c>
      <c r="M31" s="54">
        <f t="shared" si="1"/>
        <v>-9.874985402</v>
      </c>
      <c r="N31" s="52">
        <f t="shared" si="2"/>
        <v>0.518521771</v>
      </c>
      <c r="O31" s="158" t="s">
        <v>191</v>
      </c>
      <c r="P31" s="159">
        <f>PhysHitWeight4!B22-B22</f>
        <v>-2.72310617</v>
      </c>
      <c r="Q31" s="162">
        <f t="shared" si="3"/>
        <v>-12.36889426</v>
      </c>
      <c r="R31" s="161">
        <f t="shared" si="4"/>
        <v>0.5211515135</v>
      </c>
      <c r="V31" s="42"/>
      <c r="W31" s="42"/>
    </row>
    <row r="32">
      <c r="K32" s="49" t="s">
        <v>192</v>
      </c>
      <c r="L32" s="50">
        <f>HasteWeight4!B23-B23</f>
        <v>3.770213012</v>
      </c>
      <c r="M32" s="54">
        <f t="shared" si="1"/>
        <v>10.2541352</v>
      </c>
      <c r="N32" s="52">
        <f t="shared" si="2"/>
        <v>-0.5384304007</v>
      </c>
      <c r="O32" s="158" t="s">
        <v>192</v>
      </c>
      <c r="P32" s="159">
        <f>HasteWeight4!B22-B22</f>
        <v>1.483794851</v>
      </c>
      <c r="Q32" s="162">
        <f t="shared" si="3"/>
        <v>6.739693746</v>
      </c>
      <c r="R32" s="161">
        <f t="shared" si="4"/>
        <v>-0.2839705411</v>
      </c>
      <c r="V32" s="42"/>
      <c r="W32" s="42"/>
    </row>
    <row r="33">
      <c r="H33" s="163"/>
      <c r="I33" s="57"/>
      <c r="K33" s="49" t="s">
        <v>193</v>
      </c>
      <c r="L33" s="50">
        <f>(WepSkillWeight4!B23-B23)</f>
        <v>3.434855626</v>
      </c>
      <c r="M33" s="54">
        <f t="shared" si="1"/>
        <v>9.342038206</v>
      </c>
      <c r="N33" s="52">
        <f t="shared" si="2"/>
        <v>-0.4905374538</v>
      </c>
      <c r="O33" s="158" t="s">
        <v>193</v>
      </c>
      <c r="P33" s="159">
        <f>(WepSkillWeight4!B22-B22)</f>
        <v>1.334360322</v>
      </c>
      <c r="Q33" s="162">
        <f t="shared" si="3"/>
        <v>6.060932151</v>
      </c>
      <c r="R33" s="161">
        <f t="shared" si="4"/>
        <v>-0.2553715713</v>
      </c>
      <c r="V33" s="42"/>
      <c r="W33" s="42"/>
    </row>
    <row r="34">
      <c r="K34" s="49" t="s">
        <v>194</v>
      </c>
      <c r="L34" s="50">
        <f>ArPWeight4!B23-B23</f>
        <v>-3.437624968</v>
      </c>
      <c r="M34" s="54">
        <f t="shared" si="1"/>
        <v>-9.349570194</v>
      </c>
      <c r="N34" s="52">
        <f t="shared" si="2"/>
        <v>0.490932948</v>
      </c>
      <c r="O34" s="158" t="s">
        <v>194</v>
      </c>
      <c r="P34" s="159">
        <f>ArPWeight4!B22-B22</f>
        <v>-2.614426098</v>
      </c>
      <c r="Q34" s="162">
        <f t="shared" si="3"/>
        <v>-11.87524758</v>
      </c>
      <c r="R34" s="161">
        <f t="shared" si="4"/>
        <v>0.5003521835</v>
      </c>
    </row>
    <row r="35">
      <c r="K35" s="49" t="s">
        <v>195</v>
      </c>
      <c r="L35" s="50">
        <f>L37+L36</f>
        <v>-7.002229086</v>
      </c>
      <c r="M35" s="54">
        <f t="shared" si="1"/>
        <v>-19.04449524</v>
      </c>
      <c r="N35" s="58">
        <f t="shared" si="2"/>
        <v>1</v>
      </c>
      <c r="O35" s="158" t="s">
        <v>195</v>
      </c>
      <c r="P35" s="159">
        <f>P37+P36</f>
        <v>-5.225171758</v>
      </c>
      <c r="Q35" s="162">
        <f t="shared" si="3"/>
        <v>-23.73377788</v>
      </c>
      <c r="R35" s="164">
        <f t="shared" si="4"/>
        <v>1</v>
      </c>
    </row>
    <row r="36">
      <c r="K36" s="49" t="s">
        <v>196</v>
      </c>
      <c r="L36" s="50">
        <f>NatureWeight4!B23-B23</f>
        <v>-3.422559596</v>
      </c>
      <c r="M36" s="54">
        <f t="shared" si="1"/>
        <v>-9.308595757</v>
      </c>
      <c r="N36" s="52">
        <f t="shared" si="2"/>
        <v>0.4887814372</v>
      </c>
      <c r="O36" s="158" t="s">
        <v>196</v>
      </c>
      <c r="P36" s="159">
        <f>NatureWeight4!B22-B22</f>
        <v>-2.540419641</v>
      </c>
      <c r="Q36" s="162">
        <f t="shared" si="3"/>
        <v>-11.53909541</v>
      </c>
      <c r="R36" s="161">
        <f t="shared" si="4"/>
        <v>0.4861887338</v>
      </c>
    </row>
    <row r="37">
      <c r="K37" s="49" t="s">
        <v>197</v>
      </c>
      <c r="L37" s="50">
        <f>FireWeight4!B23-B23</f>
        <v>-3.579669489</v>
      </c>
      <c r="M37" s="54">
        <f t="shared" si="1"/>
        <v>-9.735899488</v>
      </c>
      <c r="N37" s="52">
        <f t="shared" si="2"/>
        <v>0.5112185628</v>
      </c>
      <c r="O37" s="158" t="s">
        <v>197</v>
      </c>
      <c r="P37" s="159">
        <f>FireWeight4!B22-B22</f>
        <v>-2.684752117</v>
      </c>
      <c r="Q37" s="162">
        <f t="shared" si="3"/>
        <v>-12.19468246</v>
      </c>
      <c r="R37" s="161">
        <f t="shared" si="4"/>
        <v>0.5138112662</v>
      </c>
    </row>
    <row r="38">
      <c r="K38" s="49" t="s">
        <v>198</v>
      </c>
      <c r="L38" s="50">
        <f>SpellCritWeight4!B23-B23</f>
        <v>-2.421096191</v>
      </c>
      <c r="M38" s="54">
        <f t="shared" si="1"/>
        <v>-6.584839533</v>
      </c>
      <c r="N38" s="52">
        <f t="shared" si="2"/>
        <v>0.3457607801</v>
      </c>
      <c r="O38" s="158" t="s">
        <v>198</v>
      </c>
      <c r="P38" s="159">
        <f>SpellCritWeight4!B22-B22</f>
        <v>-1.517247136</v>
      </c>
      <c r="Q38" s="162">
        <f t="shared" si="3"/>
        <v>-6.891640731</v>
      </c>
      <c r="R38" s="161">
        <f t="shared" si="4"/>
        <v>0.2903726818</v>
      </c>
    </row>
    <row r="39">
      <c r="K39" s="49" t="s">
        <v>199</v>
      </c>
      <c r="L39" s="50">
        <f>(SpellHitWeight4!B23-B23)</f>
        <v>-1.571241502</v>
      </c>
      <c r="M39" s="54">
        <f t="shared" si="1"/>
        <v>-4.27342507</v>
      </c>
      <c r="N39" s="52">
        <f t="shared" si="2"/>
        <v>0.2243916163</v>
      </c>
      <c r="O39" s="158" t="s">
        <v>199</v>
      </c>
      <c r="P39" s="159">
        <f>(SpellHitWeight4!B22-B22)</f>
        <v>-0.67725165</v>
      </c>
      <c r="Q39" s="162">
        <f t="shared" si="3"/>
        <v>-3.076212797</v>
      </c>
      <c r="R39" s="161">
        <f t="shared" si="4"/>
        <v>0.12961328</v>
      </c>
    </row>
    <row r="40">
      <c r="K40" s="59" t="s">
        <v>200</v>
      </c>
      <c r="L40" s="60">
        <f>SpellPenWeight4!B23-B23</f>
        <v>-3.4193023</v>
      </c>
      <c r="M40" s="61">
        <f t="shared" si="1"/>
        <v>-9.299736641</v>
      </c>
      <c r="N40" s="62">
        <f t="shared" si="2"/>
        <v>0.4883162573</v>
      </c>
      <c r="O40" s="165" t="s">
        <v>200</v>
      </c>
      <c r="P40" s="166">
        <f>SpellPenWeight4!B22-B22</f>
        <v>-2.564476725</v>
      </c>
      <c r="Q40" s="162">
        <f t="shared" si="3"/>
        <v>-11.64836752</v>
      </c>
      <c r="R40" s="161">
        <f t="shared" si="4"/>
        <v>0.4907928091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5">$F$4</f>
        <v>3.6</v>
      </c>
      <c r="C43" s="2">
        <f>$F$4/(1+$N$7)</f>
        <v>2.659848884</v>
      </c>
      <c r="D43" s="7"/>
      <c r="E43" s="167">
        <f>14/F4</f>
        <v>3.888888889</v>
      </c>
      <c r="F43" s="74">
        <f>($F$2+($N$3/E43))*(1+U8)*IF($H$13,1.04,1)*(1-$P$12)+IF($H14,8,0)</f>
        <v>835.5069699</v>
      </c>
      <c r="G43" s="74">
        <f>($F$3+($N$3/E43))*(1+U8)*IF($H$13,1.04,1)*(1-$P$12)+IF($H14,8,0)</f>
        <v>969.089591</v>
      </c>
      <c r="H43" s="74">
        <f>((AVERAGE(F43,G43)*$P$5*$P$7)+(AVERAGE(F43,G43)*$P$10*2)+(AVERAGE(F43,G43)*$P$8)+((AVERAGE(F43,G43)-$P$6)*$P$4))</f>
        <v>1254.01415</v>
      </c>
      <c r="I43" s="75">
        <f>H43/C43</f>
        <v>471.4606749</v>
      </c>
      <c r="J43" s="76">
        <f>I43*(IF($J$3="Rockbiter",1+U3,1)+IF(AND($J$3="Rockbiter",$F$12),U3*U4,0))*IF($J$6,0.75,1)*IF($J$7,0.8,1)*IF($F$18,1.02,1)*IF($F$19,0.98,1)*(1-U7)*(1+U5)</f>
        <v>265.2319892</v>
      </c>
      <c r="K43" s="18">
        <f t="shared" ref="K43:K52" si="6">I43/$B$23</f>
        <v>0.3092705663</v>
      </c>
      <c r="L43" s="74"/>
      <c r="M43" s="74"/>
      <c r="N43" s="2"/>
    </row>
    <row r="44">
      <c r="A44" s="71" t="s">
        <v>214</v>
      </c>
      <c r="B44" s="72">
        <f t="shared" si="5"/>
        <v>3.6</v>
      </c>
      <c r="C44" s="2">
        <f>IF($J$3="Windfury",60/(P19*2),0)</f>
        <v>4.313077784</v>
      </c>
      <c r="D44" s="7"/>
      <c r="E44" s="167"/>
      <c r="F44" s="74">
        <f>($F$2+(($N$3+323)/$E$43))*(1+U8)*IF($H$13,1.04,1)*(1-$P$12)+IF($H14,8,0)</f>
        <v>924.9827025</v>
      </c>
      <c r="G44" s="74">
        <f>($F$3+(($N$3+323)/$E$43))*(1+U8)*IF($H$13,1.04,1)*(1-$P$12)+IF($H14,8,0)</f>
        <v>1058.565324</v>
      </c>
      <c r="H44" s="74">
        <f>((AVERAGE(F44,G44)*$P$5*$P$7)+(AVERAGE(F44,G44)*$P$10*2)+(AVERAGE(F44,G44)*$P$8)+((AVERAGE(F44,G44)-$P$6)*$P$4))*IF(J3="Windfury",1,0)</f>
        <v>1378.367523</v>
      </c>
      <c r="I44" s="75">
        <f>IF($J$3="Windfury",(H44/C44),0)</f>
        <v>319.5786379</v>
      </c>
      <c r="J44" s="76">
        <f>I44*(IF($J$3="Rockbiter",1+U3,1)+IF(AND($J$3="Rockbiter",$F$12),U3*U4,0))*IF($J$6,0.7,1)*IF($J$7,0.8,1)*IF($F$18,1.02,1)*IF($F$19,0.98,1)*(1-U7)*(1+U5)</f>
        <v>167.8011554</v>
      </c>
      <c r="K44" s="18">
        <f t="shared" si="6"/>
        <v>0.2096384101</v>
      </c>
      <c r="L44" s="74"/>
      <c r="M44" s="74"/>
      <c r="N44" s="2"/>
    </row>
    <row r="45">
      <c r="A45" s="71" t="s">
        <v>215</v>
      </c>
      <c r="B45" s="72">
        <f t="shared" si="5"/>
        <v>3.6</v>
      </c>
      <c r="C45" s="2">
        <f>$F$4/(1+$N$7)</f>
        <v>2.659848884</v>
      </c>
      <c r="D45" s="77">
        <f>0.1</f>
        <v>0.1</v>
      </c>
      <c r="E45" s="167"/>
      <c r="F45" s="74">
        <f>(29.5*$F$4+(D45*$N$16))*(1+IF(J3="Flametongue",0.1*$D$12,0))*(1+($D$14*0.05))*(1+($D$17*0.05))*IF($H$18,1.1,1)*IF($H$19,1.15,1)*IF($H$20,1+(0.1*H67),1)*IF(F10,1.45,1)</f>
        <v>149.1688</v>
      </c>
      <c r="G45" s="74">
        <f>(29.5*$F$4+(D45*$N$16))*(1+IF(J3="Flametongue",0.1*$D$12,0))*(1+($D$14*0.05))*(1+($D$17*0.05))*IF($H$18,1.1,1)*IF($H$19,1.15,1)*IF($H$20,1+(0.1*H67),1)*IF(F10,1.45,1)</f>
        <v>149.1688</v>
      </c>
      <c r="H45" s="74">
        <f>(AVERAGE(F45,G45))*(($N$17+$U$8)*(1.5+($D$17*0.25)))+(AVERAGE(F45,G45))*((MIN(IF($H$3=63,0.83+$N$18,0.96+$N$18-(($H$3-60)*0.01)),0.99))-($N$17+$U$8))*((1-$P$15*0.0025)*$P$13)*(1-P2-P3)</f>
        <v>115.4269933</v>
      </c>
      <c r="I45" s="75" t="b">
        <f>IF($J$3="Flametongue",(H45/C45)+(H45/C46)+(H45/C49)+IF(F24,((H45/C45)+(H45/C46)+(H45/C49))*K67,0))</f>
        <v>0</v>
      </c>
      <c r="J45" s="76">
        <f>I45*(IF($J$3="Rockbiter",1+U3,1)+IF(AND($J$3="Rockbiter",$F$12),U3*U4,0))*IF($J$6,0.7,1)*IF($J$7,0.8,1)*IF($F$18,1.02,1)*IF($F$19,0.98,1)*(1-U7)*(1+U5)</f>
        <v>0</v>
      </c>
      <c r="K45" s="18">
        <f t="shared" si="6"/>
        <v>0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7">IF($F$11,8.5,9)</f>
        <v>9</v>
      </c>
      <c r="D46" s="7"/>
      <c r="E46" s="167">
        <f>14/F4</f>
        <v>3.888888889</v>
      </c>
      <c r="F46" s="74">
        <f>F43*0.6*(1+U8)</f>
        <v>551.4346001</v>
      </c>
      <c r="G46" s="74">
        <f>G43*0.6*(1+U8)</f>
        <v>639.59913</v>
      </c>
      <c r="H46" s="74">
        <f>(AVERAGE(F46,G46)*($P$10+$U$8)*(2*(1+$D$17*0.25))+(AVERAGE(F46,G46)*(1-$P$2-$P$3-$P$4-($P$10+U8)))+((AVERAGE(F46,G46)-$P$6)*$P$4))</f>
        <v>913.4037677</v>
      </c>
      <c r="I46" s="75">
        <f t="shared" ref="I46:I47" si="8">H46/C46</f>
        <v>101.4893075</v>
      </c>
      <c r="J46" s="76">
        <f>I46*(IF($J$3="Rockbiter",1+U3,1)+IF(AND($J$3="Rockbiter",$F$12),U3*U4,0))*IF($J$6,0.75,1)*IF($J$7,0.8,1)*IF($F$18,1.02,1)*IF($F$19,0.98,1)*(1-U7)*(1+U5)</f>
        <v>57.09534718</v>
      </c>
      <c r="K46" s="18">
        <f t="shared" si="6"/>
        <v>0.06657534186</v>
      </c>
      <c r="L46" s="80">
        <f>IF($J$2="Lightning",(182*(1-J26*0.2)),(182*(1-J26*0.2))-(150+($N$3/10)))-($P$17*0.6*182)</f>
        <v>78.27996261</v>
      </c>
      <c r="M46" s="74">
        <f>L46/C46</f>
        <v>8.697773623</v>
      </c>
      <c r="N46" s="2"/>
    </row>
    <row r="47">
      <c r="A47" s="71" t="s">
        <v>217</v>
      </c>
      <c r="B47" s="78">
        <v>1.5</v>
      </c>
      <c r="C47" s="71">
        <f t="shared" si="7"/>
        <v>9</v>
      </c>
      <c r="D47" s="81">
        <v>0.05</v>
      </c>
      <c r="E47" s="167">
        <f>14/F4</f>
        <v>3.888888889</v>
      </c>
      <c r="F47" s="74">
        <f>(($F$2+($N$3/E43))*(0.2)+($D$47*$N$15))*(1+U8)*IF($H$20,1+(0.1*H67),1)*(1+(D17*0.05))*IF(J23,1+U9,1)</f>
        <v>217.7508929</v>
      </c>
      <c r="G47" s="74">
        <f>(($F$3+($N$3/E43))*(0.2)+($D$47*$N$15))*(1+U8)*IF($H$20,1+(0.1*H67),1)*(1+(D17*0.05))*IF(J23,1+U9,1)</f>
        <v>251.8508929</v>
      </c>
      <c r="H47" s="74">
        <f>(AVERAGE(F47,G47)*($P$10+$U$8)*(1.5+($D$17*0.25))+(AVERAGE(F47,G47)*(1-$P$2-$P$3-$P$4-($P$10+U8)))+((AVERAGE(F47,G47)-$P$6)*$P$4))*IF(J23,1+U9,1)</f>
        <v>364.0587844</v>
      </c>
      <c r="I47" s="75">
        <f t="shared" si="8"/>
        <v>40.45097604</v>
      </c>
      <c r="J47" s="76">
        <f>I47*(IF($J$3="Rockbiter",1+U3,1)+IF(AND($J$3="Rockbiter",$F$12),U3*U4,0))*IF($J$6,0.75,1)*IF($J$7,0.8,1)*IF($F$18,1.02,1)*IF($F$19,0.98,1)*(1-U7)*(1+U5)</f>
        <v>22.75670785</v>
      </c>
      <c r="K47" s="18">
        <f t="shared" si="6"/>
        <v>0.02653518508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7"/>
        <v>9</v>
      </c>
      <c r="D48" s="81">
        <v>0.265</v>
      </c>
      <c r="E48" s="84">
        <v>0.25</v>
      </c>
      <c r="F48" s="74">
        <f>IF($J$2="Lightning",(198+(D48*N15)+(E48*$N$3))*IF($J$23,1+U9,1)*IF($F$13,1.15,1)*(1+(D17*0.05))*(1+(D9*0.01))*IF($H$20,1+(0.1*H67),1)*IF(J26,1.15,1),0)</f>
        <v>1107.843516</v>
      </c>
      <c r="G48" s="74">
        <f>IF($J$2="Lightning",(198+(D48*N15)+(E48*$N$3))*IF($J$23,1+U9,1)*IF($F$13,1.15,1)*(1+(D17*0.05))*(1+(D9*0.01))*IF($H$20,1+(0.1*H67),1)*IF(J26,1.15,1),0)</f>
        <v>1107.843516</v>
      </c>
      <c r="H48" s="74">
        <f>G48*((1-$P$14*0.0025)*$P$13)*(1-P2-P3)</f>
        <v>986.1801407</v>
      </c>
      <c r="I48" s="75">
        <f>IF(F16,((H48/C48)+(H48/C43)*0.15+(H48/C46)*0.15+(H48/C49)*0.15+IF(J3="Windfury",H48/C44,0)*0.15)*(1-P2),(H48/C48)*(1-P2))</f>
        <v>103.7680659</v>
      </c>
      <c r="J48" s="76">
        <f>IF($J$2="Lightning",I48*(IF($J$3="Rockbiter",1+U3,1)+IF(AND($J$3="Rockbiter",$F$12),U3*U4,0))*IF($J$6,0.75,1)*IF($J$7,0.8,1)*IF($F$18,1.02,1)*IF($F$19,0.98,1)*(1+U5),((150+($N$3/10))/2)*(IF($J$3="Rockbiter",1+U3,1)+IF(AND($J$3="Rockbiter",$F$12),U3*U4,0))*IF($J$6,0.7,1)*IF($J$7,0.8,1)*IF($F$18,1.02,1)*IF($F$19,0.98,1)*(1+U5))</f>
        <v>77.82604944</v>
      </c>
      <c r="K48" s="18">
        <f t="shared" si="6"/>
        <v>0.06807017046</v>
      </c>
      <c r="L48" s="80">
        <f>IF($J$2="Lightning",(182*(1-J26*0.2)),(182*(1-J26*0.2))-(150+($N$3/10)))-($P$17*0.6*182)</f>
        <v>78.27996261</v>
      </c>
      <c r="M48" s="74">
        <f t="shared" ref="M48:M51" si="9">L48/C48</f>
        <v>8.697773623</v>
      </c>
      <c r="N48" s="2"/>
    </row>
    <row r="49">
      <c r="A49" s="71" t="s">
        <v>74</v>
      </c>
      <c r="B49" s="78">
        <v>1.5</v>
      </c>
      <c r="C49" s="71">
        <f>IF($F$11,7.5,8)</f>
        <v>8</v>
      </c>
      <c r="D49" s="7"/>
      <c r="E49" s="168">
        <f>14/F4</f>
        <v>3.888888889</v>
      </c>
      <c r="F49" s="74">
        <f>$F$43*1.01*(1+U8)</f>
        <v>928.2482435</v>
      </c>
      <c r="G49" s="74">
        <f>$G$43*1.01*(1+U8)</f>
        <v>1076.658536</v>
      </c>
      <c r="H49" s="74">
        <f>(AVERAGE(F49,G49)*($P$10+$U$8)*2)+(AVERAGE(F49,G49)*(1-$P$2-$P$3-$P$4-($P$10+U8)))+((AVERAGE(F49,G49)-$P$6)*$P$4)</f>
        <v>1537.563009</v>
      </c>
      <c r="I49" s="75">
        <f>H49/C49</f>
        <v>192.1953761</v>
      </c>
      <c r="J49" s="76">
        <f>I49*(IF($J$3="Rockbiter",1+U3,1)+IF(AND($J$3="Rockbiter",$F$12),U3*U4,0))*IF($J$6,0.75,1)*IF($J$7,0.8,1)*IF($F$18,1.02,1)*IF($F$19,0.98,1)*(1-U7)*(1+U5)</f>
        <v>108.1243137</v>
      </c>
      <c r="K49" s="18">
        <f t="shared" si="6"/>
        <v>0.1260770536</v>
      </c>
      <c r="L49" s="80">
        <f>(152*(1-J26*0.2))-($P$17*0.6*152)</f>
        <v>65.37667207</v>
      </c>
      <c r="M49" s="74">
        <f t="shared" si="9"/>
        <v>8.172084009</v>
      </c>
      <c r="N49" s="2"/>
    </row>
    <row r="50">
      <c r="A50" s="71" t="s">
        <v>219</v>
      </c>
      <c r="B50" s="78">
        <v>1.5</v>
      </c>
      <c r="C50" s="71">
        <f t="shared" ref="C50:C51" si="10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(492+(E50*$N$3)+(D50*$N$15)+IF(F7,30,0))*(1+(D17*0.05))*(1+(D9*0.01))*IF($J$23,1+U9,1)*IF(F15,1.1,1)*IF(J26,1.15,1)*IF($H$20,1+(0.1*H67),1)</f>
        <v>1046.126813</v>
      </c>
      <c r="G50" s="80">
        <f>(520+(E50*$N$3)+(D50*$N$15)+IF(F7,30,0))*(1+(D17*0.05))*(1+(D9*0.01))*IF($J$23,1+U9,1)*IF(F15,1.1,1)*IF(J26,1.15,1)*IF($H$20,1+(0.1*H67),1)</f>
        <v>1086.551813</v>
      </c>
      <c r="H50" s="80">
        <f>(AVERAGE(F50,G50))*(($N$17+$U$8+IF($F$14,0.05,0))*(1.5+($D$17*0.25)))+(AVERAGE(F50,G50))*((MIN(IF($H$3=63,0.83+$N$18,0.96+$N$18-(($H$3-60)*0.01)),0.99))-($N$17+$U$8+IF($F$14,0.05,0)))*((1-$P$14*0.0025)*$P$13)</f>
        <v>1099.080713</v>
      </c>
      <c r="I50" s="75">
        <f>H50*2/15</f>
        <v>146.5440951</v>
      </c>
      <c r="J50" s="76">
        <f>I50*(IF($J$3="Rockbiter",1+U3,1)+IF(AND($J$3="Rockbiter",$F$12),U3*U4,0))*IF($J$6,0.75,1)*IF($J$7,0.8,1)*IF($F$18,1.02,1)*IF($F$19,0.98,1)*1.5*(1+U5)</f>
        <v>164.862107</v>
      </c>
      <c r="K50" s="18">
        <f t="shared" si="6"/>
        <v>0.09613055274</v>
      </c>
      <c r="L50" s="80">
        <f>(450*(1-($D$10*0.02))*(1-J26*0.2))-($P$17*0.6*450)</f>
        <v>193.5493581</v>
      </c>
      <c r="M50" s="74">
        <f t="shared" si="9"/>
        <v>38.70987162</v>
      </c>
      <c r="N50" s="2"/>
    </row>
    <row r="51">
      <c r="A51" s="71" t="s">
        <v>220</v>
      </c>
      <c r="B51" s="78">
        <v>1.5</v>
      </c>
      <c r="C51" s="71">
        <f t="shared" si="10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(293+(E51*$N$3)+(D51*$N$16)+IF($F$7,30,0))*(1+D9*0.01)*IF(J3="Flametongue",1+(D12*0.1),1)*(1+($D$14*0.05))*(1+($D$17*0.05))*IF($H$18,1.1,1)*IF($H$19,1.15,1)*IF($H$20,1+(0.1*H67),1)*IF(F15,1.1,1)*IF(J26,1.15,1)</f>
        <v>757.8106565</v>
      </c>
      <c r="G51" s="80">
        <f>(293+(E51*$N$3)+(D51*$N$16)+IF($F$7,30,0))*(1+D9*0.01)*IF(J3="Flametongue",1+(D12*0.1),1)*(1+($D$14*0.05))*(1+($D$17*0.05))*IF($H$18,1.1,1)*IF($H$19,1.15,1)*IF($H$20,1+(0.1*H67),1)*IF(F15,1.1,1)*IF(J26,1.15,1)</f>
        <v>757.8106565</v>
      </c>
      <c r="H51" s="80">
        <f>(AVERAGE(F51,G51))*(($N$17+$U$8+IF($F$14,0.05,0))*(1.5+($D$17*0.25)))+(AVERAGE(F51,G51))*((MIN(IF($H$3=63,0.83+$N$18,0.96+$N$18-(($H$3-60)*0.01)),0.99))-($N$17+$U$8+IF($F$14,0.05,0)))*((1-$P$15*0.0025)*$P$13)</f>
        <v>638.6745334</v>
      </c>
      <c r="I51" s="75">
        <f t="shared" ref="I51:I52" si="11">H51/15</f>
        <v>42.57830223</v>
      </c>
      <c r="J51" s="76">
        <f>I51*(IF($J$3="Rockbiter",1+U3,1)+IF(AND($J$3="Rockbiter",$F$12),U3*U4,0))*IF($J$6,0.75,1)*IF($J$7,0.8,1)*IF($F$18,1.02,1)*IF($F$19,0.98,1)*(1+U5)</f>
        <v>31.93372667</v>
      </c>
      <c r="K51" s="18">
        <f t="shared" si="6"/>
        <v>0.0279306766</v>
      </c>
      <c r="L51" s="80">
        <f>(410*(1-($D$10*0.02))*(1-J26*0.2)-($P$17*0.6*450))</f>
        <v>153.5493581</v>
      </c>
      <c r="M51" s="74">
        <f t="shared" si="9"/>
        <v>30.70987162</v>
      </c>
      <c r="N51" s="2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183.4197028</v>
      </c>
      <c r="G52" s="80">
        <f>(82+(E52*$N$3)+(D52*$N$16)+IF($F$7,30,0))*(1+D9*0.01)*IF(J3="Flametongue",1+(D12*0.1),1)*(1+($D$14*0.05))*(1+($D$17*0.05))*IF($H$18,1.1,1)*IF($H$19,1.15,1)*IF($H$20,1+(0.1*H67),1)*IF(F15,1.1,1)*IF(J26,1.15,1)</f>
        <v>183.4197028</v>
      </c>
      <c r="H52" s="80">
        <f>(AVERAGE(F52,G52))*MIN(IF($H$3=63,0.83+$N$18,0.96+$N$18-(($H$3-60)*0.01)),0.99)*((1-$P$15*0.0025)*$P$13)*5</f>
        <v>599.0833573</v>
      </c>
      <c r="I52" s="75">
        <f t="shared" si="11"/>
        <v>39.93889049</v>
      </c>
      <c r="J52" s="76">
        <f>I52*(IF($J$3="Rockbiter",1+U3,1)+IF(AND($J$3="Rockbiter",$F$12),U3*U4,0))*IF($J$6,0.75,1)*IF($J$7,0.8,1)*IF($F$18,1.02,1)*IF($F$19,0.98,1)*(1+U5)</f>
        <v>29.95416787</v>
      </c>
      <c r="K52" s="18">
        <f t="shared" si="6"/>
        <v>0.02619926525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2">$H$7</f>
        <v>4</v>
      </c>
      <c r="D53" s="81">
        <v>0.267</v>
      </c>
      <c r="E53" s="73"/>
      <c r="F53" s="74">
        <f>(198+($N$15*$D$53))*(1+(D17*0.05))*(1+(D9*0.01))*IF(J26,1.15,1)*IF($H$20,1+(0.1*H67),1)*IF(J23,1+U9,1)</f>
        <v>282.6534375</v>
      </c>
      <c r="G53" s="74">
        <f>(198+($N$15*$D$53))*(1+(D17*0.05))*(1+(D9*0.01))*IF(J26,1.15,1)*IF($H$20,1+(0.1*H67),1)*IF(J23,1+U9,1)</f>
        <v>282.6534375</v>
      </c>
      <c r="H53" s="74">
        <f>F53*((1-$P$14*0.0025)*$P$13)</f>
        <v>265.6942313</v>
      </c>
      <c r="I53" s="75">
        <f>IF(H6,H53/H7,0)</f>
        <v>66.42355781</v>
      </c>
      <c r="J53" s="76">
        <f>I53*(IF($J$3="Rockbiter",1+U3,1)+IF(AND($J$3="Rockbiter",$F$12),U3*U4,0))*IF($J$6,0.75,1)*IF($J$7,0.8,1)*IF($F$18,1.02,1)*IF($F$19,0.98,1)*(1+U5)</f>
        <v>49.81766836</v>
      </c>
      <c r="K53" s="18">
        <f>IF(H6,I53/$B$23,0)</f>
        <v>0.04357277803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2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2.2*(1-D16*0.1)+0.1</f>
        <v>2.3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60.88299525</v>
      </c>
      <c r="G55" s="74">
        <f>(54+(D55*$N$16))*(1+($D$14*0.05))*(1+(IF(J3="Flametongue",($D$12*0.1),0)))*(1+($D$17*0.05))*(1+($D$9*0.01))*IF($H$18,1.1,1)*IF($H$19,1.15,1)*IF($H$20,1+(0.1*H67),1)</f>
        <v>81.33804525</v>
      </c>
      <c r="H55" s="80">
        <f t="shared" ref="H55:H57" si="13">(AVERAGE(F55,G55))*(($N$17+$U$8)*(1.5+($D$17*0.25)))+(AVERAGE(F55,G55))*((MIN(IF($H$3=63,0.83+$N$18,0.96+$N$18-(($H$3-60)*0.01)),0.99))-($N$17+$U$8))*((1-$P$15*0.0025)*$P$13)</f>
        <v>57.02097072</v>
      </c>
      <c r="I55" s="75">
        <f>IF(J4="Searing",H55/C55,0)+IF(J4="Nova+Searing",((H55*(ROUNDDOWN((15-(4-D16))/C55,0)))/15),0)</f>
        <v>0</v>
      </c>
      <c r="J55" s="71">
        <f>(H55/C55)*(IF($J$3="Rockbiter",1+U3,1)+IF(AND($J$3="Rockbiter",$F$12),U3*U4,0))*IF($J$6,0.7,1)*IF($J$7,0.8,1)*IF($F$18,1.02,1)*IF($F$19,0.98,1)*(0+U2)*(1+U5)</f>
        <v>0</v>
      </c>
      <c r="K55" s="18">
        <f>IF(J4="Searing",I55/$B$23,0)+IF(J4="Nova+Searing",I55/B23,0)</f>
        <v>0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110.067163</v>
      </c>
      <c r="G56" s="74">
        <f>(75+(D56*$N$16))*(1+($D$14*0.05))*(1+(IF(J3="Flametongue",($D$12*0.1),0)))*(1+($D$17*0.05))*(1+($D$9*0.01))*IF($H$18,1.1,1)*IF($H$19,1.15,1)*IF($H$20,1+(0.1*H67),1)</f>
        <v>110.067163</v>
      </c>
      <c r="H56" s="80">
        <f t="shared" si="13"/>
        <v>88.25890255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(H56/C56)*(IF($J$3="Rockbiter",1+U3,1)+IF(AND($J$3="Rockbiter",$F$12),U3*U4,0))*IF($J$6,0.7,1)*IF($J$7,0.8,1)*IF($F$18,1.02,1)*IF($F$19,0.98,1)*(0+U2)*(1+U5)*(1-D16*0.25)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605.5133123</v>
      </c>
      <c r="G57" s="74">
        <f>(459+(D57*$N$16))*(1+($D$14*0.05))*(1+(IF(J3="Flametongue",($D$12*0.1),0)))*(1+($D$17*0.05))*(1+($D$9*0.01))*IF($H$18,1.1,1)*IF($H$19,1.15,1)*IF($H$20,1+(0.1*H67),1)</f>
        <v>672.7227623</v>
      </c>
      <c r="H57" s="80">
        <f t="shared" si="13"/>
        <v>512.4857863</v>
      </c>
      <c r="I57" s="75">
        <f>IF(J4="Nova",(H57/C57)*H4,0)+IF(J4="Nova+Magma",(H57/C57)*H4,0)+IF(J4="Nova+Searing",(H57/C57)*H4,0)</f>
        <v>0</v>
      </c>
      <c r="J57" s="71">
        <f>(H57/C57)*(IF($J$3="Rockbiter",1+U3,1)+IF(AND($J$3="Rockbiter",$F$12),U3*U4,0))*IF($J$6,0.7,1)*IF($J$7,0.8,1)*IF($F$18,1.02,1)*IF($F$19,0.98,1)*(0+U2)*(1+U5)</f>
        <v>0</v>
      </c>
      <c r="K57" s="18">
        <f t="shared" ref="K57:K59" si="14">I57/$B$23</f>
        <v>0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89"/>
      <c r="E58" s="169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((150/C58)*(IF($J$3="Rockbiter",1+U3,1)+IF(AND($J$3="Rockbiter",$F$12),U3*U4,0))*IF($J$6,0.7,1)*IF($J$7,0.8,1)*IF($F$18,1.02,1)*IF($F$19,0.98,1)*(0+U2)*(1+U5)*MIN(IF($H$3=63,0.83+$N$18,0.96+$N$18-(($H$3-60)*0.01)),0.99))*H4</f>
        <v>0</v>
      </c>
      <c r="K58" s="18">
        <f t="shared" si="14"/>
        <v>0</v>
      </c>
      <c r="L58" s="80">
        <v>140.0</v>
      </c>
      <c r="M58" s="74"/>
      <c r="N58" s="2"/>
    </row>
    <row r="59">
      <c r="A59" s="71" t="s">
        <v>229</v>
      </c>
      <c r="B59" s="92"/>
      <c r="D59" s="93" t="s">
        <v>230</v>
      </c>
      <c r="E59" s="170"/>
      <c r="F59" s="75"/>
      <c r="G59" s="75"/>
      <c r="H59" s="75"/>
      <c r="I59" s="75">
        <f>IF(F23,C67,0)+IF(F22,C66,0)+IF(F24,C68,0)+IF(F9,C69,0)+IF(F25,C70,0)</f>
        <v>0</v>
      </c>
      <c r="J59" s="75">
        <f>I59*(IF($J$3="Rockbiter",1+U3,1)+IF(AND($J$3="Rockbiter",$F$12),U3*U4,0))*IF($J$6,0.75,1)*IF($J$7,0.8,1)*IF($F$18,1.02,1)*IF($F$19,0.98,1)*(1+U5)</f>
        <v>0</v>
      </c>
      <c r="K59" s="18">
        <f t="shared" si="14"/>
        <v>0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(($H$43/$C$43))+IF($J$3="Flametongue",(H45/C45)+(H45/C46)+(H45/C49)+IF(F24,((H45/C45)+(H45/C46)+(H45/C49))*K67,0),0)+(IF($J$3="Windfury",$H$44*$P$19*2/60,0)+(($H$46+$H$47)/$C$46)+($H$49/$C$49))</f>
        <v>1125.174972</v>
      </c>
      <c r="D61" s="103">
        <f>$H$50*2/15</f>
        <v>146.5440951</v>
      </c>
      <c r="E61" s="103">
        <f>IF($H$6,IF($J$2="Lightning",$H$53/$H$7,0),0)+IF(J2="Lightning",I48,0)+(($H$51+$H$52)/15)+IF(F22,C66,0)+IF(F23,C67,0)+IF(F9,IF(H6,C69,0),0)+IF(F24,C68,0)+IF(F25,C70,0)</f>
        <v>252.7088164</v>
      </c>
      <c r="F61" s="103">
        <f>IF(J4="Magma",I56,0)+IF($J$4="Searing",I55,0)+IF($J$4="Nova",I57,0)+B76+B77</f>
        <v>0</v>
      </c>
      <c r="G61" s="103">
        <f>SUM(C61,D61,E61,F61)</f>
        <v>1524.427884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$22,$C$66,0)+IF($F$23,$C$67,0)+IF($F$24,$C$68,0)+IF(J4="Nova",H57/C57,0)+B76+B77+IF(H6,IF(F9,C69,0),0)</f>
        <v>1530.235389</v>
      </c>
      <c r="I61" s="103">
        <f>((C61*(1-$U$7))+(D61*1.5)+E61+(F61*($D$4*0.45)))*((IF($J$3="Rockbiter",1+$U$3,1)+IF(AND($J$3="Rockbiter",$F$12),$U$3*$U$4,0))*(1+$U$5)*IF($J$6,0.75,1)*IF($J$7,0.8,1)*IF($F$18,1.02,1)*IF($F$19,0.98,1))+IF(J5,J58,0)</f>
        <v>987.3890295</v>
      </c>
      <c r="J61" s="103"/>
      <c r="K61" s="103">
        <f>M46+M49+(L50*2/15)+(L51/15)+IF(AND(H6,J2="Lightning"),(L53*((60/H7)/9))/60,0)+IF(J2="Lightning",(L53*(60/C46))/60,0)+IF(J4="Searing",M55,0)+IF(J4="Magma",M56,0)+IF(J4="Nova",M57,0)+IF(J4="Nova+Searing",(L57+L55)/15,0)+IF(J4="Nova+Magma",(L57+L56)/15,0)+IF(J22,100/60,0)</f>
        <v>105.9686181</v>
      </c>
      <c r="L61" s="103">
        <f>N14/K61</f>
        <v>157.5810001</v>
      </c>
    </row>
    <row r="62">
      <c r="A62" s="100" t="s">
        <v>240</v>
      </c>
      <c r="B62" s="101"/>
      <c r="C62" s="102">
        <f>(($H$43/$C$43))+IF($J$3="Flametongue",(H45/C45)+(H45/C46)+(H45/C49)+IF(F24,((H45/C45)+(H45/C46)+(H45/C49))*K67,0),0)+(IF($J$3="Windfury",$H$44*$P$19*2/60,0)+(($H$46+$H$47)/$C$46)+($H$49/$C$49))</f>
        <v>1125.174972</v>
      </c>
      <c r="D62" s="103">
        <f>$H$50/5</f>
        <v>219.8161427</v>
      </c>
      <c r="E62" s="103">
        <f>IF($H$6,IF($J$2="Lightning",$H$53/$H$7,0),0)+IF(J2="Lightning",I48,0)+IF(F22,C66,0)+IF(F23,C67,0)+IF(F9,IF(H6,C69,0),0)+IF(F25,C70,0)</f>
        <v>170.1916237</v>
      </c>
      <c r="F62" s="103">
        <f>IF(J4="Magma",I56,0)+IF($J$4="Searing",I55,0)+IF($J$4="Nova",I57,0)+B76+B77</f>
        <v>0</v>
      </c>
      <c r="G62" s="103">
        <f>C62+D62+E62+F62</f>
        <v>1515.182739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$22,$C$66,0)+IF($F$23,$C$67,0)+IF($F$24,$C$68,0)+IF(J4="Nova",H57/C57,0)+B76+B77+IF(H6,IF(F9,C69,0),0)</f>
        <v>1520.990244</v>
      </c>
      <c r="I62" s="103">
        <f>((C62*(1-$U$7))+(D62*1.5)+E62+(F62*($D$4*0.45)))*((IF($J$3="Rockbiter",1+$U$3,1)+IF(AND($J$3="Rockbiter",$F$12),$U$3*$U$4,0))*(1+$U$5)*IF($J$6,0.75,1)*IF($J$7,0.8,1)*IF($F$18,1.02,1)*IF($F$19,0.98,1))+IF(J5,J58,0)</f>
        <v>1007.932188</v>
      </c>
      <c r="J62" s="103"/>
      <c r="K62" s="103">
        <f>M46+M49+(L50/5)+IF(AND(H6,J2="Lightning"),(L53*((60/H7)/9))/60,0)+IF(J2="Lightning",(L53*(60/C46))/60,0)+IF(J4="Searing",M55,0)+IF(J4="Magma",M56,0)+IF(J4="Nova",M57,0)+IF(J4="Nova+Searing",(L57+L55)/15,0)+IF(J4="Nova+Magma",(L57+L56)/15,0)+IF(J22,100/60,0)</f>
        <v>108.6352848</v>
      </c>
      <c r="L62" s="103">
        <f>N14/K62</f>
        <v>153.7128646</v>
      </c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443.736182</v>
      </c>
      <c r="C66" s="112">
        <f>(B66*((((60/C43)+(60/C46)+(60/C49)+IF(J3="Windfury",60/C44,0))*1-$P$2)*0.185))/60</f>
        <v>69.2063225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166.0868629</v>
      </c>
      <c r="C67" s="103">
        <f>(B67*((((60/C43)+(60/C46)+(60/C49)+IF(J3="Windfury",60/C44,0))*(1-P2))*0.08633)/60)</f>
        <v>11.45911337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0.4774048388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364.0224359</v>
      </c>
      <c r="C68" s="103">
        <f>((B68/C43)*K67+(B68/C46)*K67+(B68/C49)*K67+IF(J3="Windfury",(B68/C44)*K67,0))*(1-SUM(P2:P3))</f>
        <v>19.78295017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31.41066572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190.935023</v>
      </c>
      <c r="C70" s="103">
        <f>((B70/C43)*K66+(B70/C46)*K66+(B70/C49)*K66+IF(J3="Windfury",(B70/C44)*K66,0))*(1-SUM(P2:P3))</f>
        <v>10.98682197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36.41330911</v>
      </c>
      <c r="C72" s="88">
        <f>60/C46</f>
        <v>6.666666667</v>
      </c>
      <c r="D72" s="88">
        <f>60/5</f>
        <v>12</v>
      </c>
      <c r="E72" s="88">
        <f>IF($F$23,$A$72*0.08,0)</f>
        <v>0</v>
      </c>
      <c r="F72" s="88">
        <f>($A$72)*($F$27*1)</f>
        <v>0</v>
      </c>
      <c r="G72" s="88">
        <f>SUM(A72:E72)*(0.83+$N$18)</f>
        <v>52.79577211</v>
      </c>
      <c r="H72" s="88">
        <f>SUM(A72:F72)*(0.83+$N$18)</f>
        <v>52.79577211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0</v>
      </c>
      <c r="C76" s="119"/>
      <c r="D76" s="120"/>
      <c r="E76" s="120"/>
      <c r="F76" s="117"/>
      <c r="G76" s="117"/>
      <c r="H76" s="121"/>
      <c r="I76" s="122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</row>
    <row r="78">
      <c r="A78" s="71"/>
      <c r="B78" s="72"/>
      <c r="C78" s="2"/>
      <c r="D78" s="73"/>
      <c r="E78" s="73"/>
      <c r="F78" s="2"/>
      <c r="G78" s="2"/>
      <c r="H78" s="76"/>
      <c r="I78" s="126"/>
    </row>
    <row r="79">
      <c r="A79" s="71"/>
      <c r="B79" s="72"/>
      <c r="C79" s="2"/>
      <c r="D79" s="127"/>
      <c r="E79" s="73"/>
      <c r="F79" s="2"/>
      <c r="G79" s="2"/>
      <c r="H79" s="2"/>
      <c r="I79" s="126"/>
    </row>
    <row r="80">
      <c r="A80" s="128" t="s">
        <v>68</v>
      </c>
      <c r="B80" s="78"/>
      <c r="C80" s="71"/>
      <c r="D80" s="73"/>
      <c r="E80" s="73"/>
      <c r="F80" s="71" t="s">
        <v>294</v>
      </c>
      <c r="G80" s="71" t="s">
        <v>242</v>
      </c>
      <c r="H80" s="71" t="s">
        <v>295</v>
      </c>
      <c r="I80" s="126"/>
    </row>
    <row r="81">
      <c r="B81" s="129" t="s">
        <v>264</v>
      </c>
      <c r="C81" s="71"/>
      <c r="D81" s="82"/>
      <c r="E81" s="73"/>
      <c r="F81" s="71">
        <v>0.0</v>
      </c>
      <c r="G81" s="112">
        <v>2022.4442641685396</v>
      </c>
      <c r="H81" s="71">
        <v>0.0</v>
      </c>
      <c r="I81" s="126"/>
    </row>
    <row r="82">
      <c r="A82" s="71"/>
      <c r="B82" s="129" t="s">
        <v>265</v>
      </c>
      <c r="C82" s="71"/>
      <c r="D82" s="82"/>
      <c r="E82" s="82"/>
      <c r="F82" s="71">
        <v>1.0</v>
      </c>
      <c r="G82" s="112">
        <v>2022.6584289112702</v>
      </c>
      <c r="H82" s="171">
        <f t="shared" ref="H82:H85" si="15">(G82-$G$81)/F82</f>
        <v>0.2141647427</v>
      </c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71">
        <v>10.0</v>
      </c>
      <c r="G83" s="112">
        <v>2024.5891208577268</v>
      </c>
      <c r="H83" s="171">
        <f t="shared" si="15"/>
        <v>0.2144856689</v>
      </c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>
        <v>100.0</v>
      </c>
      <c r="G84" s="112">
        <v>2044.21912771698</v>
      </c>
      <c r="H84" s="171">
        <f t="shared" si="15"/>
        <v>0.2177486355</v>
      </c>
      <c r="I84" s="126"/>
      <c r="J84" s="126"/>
      <c r="K84" s="71"/>
      <c r="L84" s="2"/>
      <c r="M84" s="2"/>
      <c r="O84" s="18"/>
    </row>
    <row r="85">
      <c r="A85" s="71"/>
      <c r="C85" s="71"/>
      <c r="D85" s="84"/>
      <c r="E85" s="84"/>
      <c r="F85" s="71">
        <v>500.0</v>
      </c>
      <c r="G85" s="112">
        <v>2139.213746359053</v>
      </c>
      <c r="H85" s="171">
        <f t="shared" si="15"/>
        <v>0.2335389644</v>
      </c>
      <c r="I85" s="126"/>
      <c r="J85" s="126"/>
      <c r="K85" s="71"/>
      <c r="L85" s="2"/>
      <c r="M85" s="2"/>
      <c r="O85" s="18"/>
    </row>
    <row r="86">
      <c r="A86" s="71"/>
      <c r="C86" s="71"/>
      <c r="D86" s="82"/>
      <c r="E86" s="84"/>
      <c r="F86" s="71"/>
      <c r="G86" s="71"/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IF(F16,((H48/C48)+(H48/C43)*0.15+(H48/C46)*0.15+(H48/C49)*0.15)*(1-P2),(H48/C48)*(1-P2))</f>
        <v>103.7680659</v>
      </c>
      <c r="D93" s="137"/>
      <c r="E93" s="94"/>
    </row>
    <row r="94">
      <c r="B94" s="8" t="s">
        <v>273</v>
      </c>
      <c r="C94" s="88">
        <f>IF(H6,H53/H7,0)+IF(AND(J2="Lightning",F16),((H53/C43)*0.15+(H53/C46)*0.15+(H53/C49)*0.15)*(1-P2),0)</f>
        <v>66.42355781</v>
      </c>
    </row>
    <row r="97">
      <c r="A97" s="8" t="s">
        <v>122</v>
      </c>
      <c r="B97" s="8" t="s">
        <v>274</v>
      </c>
    </row>
    <row r="101">
      <c r="A101" s="8" t="s">
        <v>296</v>
      </c>
    </row>
    <row r="102">
      <c r="A102" s="88">
        <f>IF($F$5,1-EXP(-(0.35/(60/(60/7.5)))*10),0)</f>
        <v>0</v>
      </c>
      <c r="D102" s="88">
        <f t="shared" ref="D102:D104" si="16">140*A102</f>
        <v>0</v>
      </c>
      <c r="E102" s="172">
        <f>D102*L26</f>
        <v>0</v>
      </c>
    </row>
    <row r="103">
      <c r="A103" s="88">
        <f>IF($F$5,1-EXP(-(0.35/(60/(60/5))*10)),0)</f>
        <v>0</v>
      </c>
      <c r="D103" s="88">
        <f t="shared" si="16"/>
        <v>0</v>
      </c>
      <c r="E103" s="172">
        <f>D103*L26</f>
        <v>0</v>
      </c>
      <c r="G103" s="172">
        <f>E103</f>
        <v>0</v>
      </c>
    </row>
    <row r="104">
      <c r="A104" s="88">
        <f>IF($F$5,1-EXP(-(0.35/(60/(60/15)))*10),0)</f>
        <v>0</v>
      </c>
      <c r="D104" s="88">
        <f t="shared" si="16"/>
        <v>0</v>
      </c>
      <c r="E104" s="172">
        <f>D104*L26</f>
        <v>0</v>
      </c>
      <c r="F104" s="42"/>
      <c r="G104" s="42">
        <f>E104+E107</f>
        <v>18.59</v>
      </c>
    </row>
    <row r="105">
      <c r="F105" s="42"/>
      <c r="G105" s="42"/>
    </row>
    <row r="106">
      <c r="D106" s="8" t="s">
        <v>297</v>
      </c>
      <c r="E106" s="8">
        <v>4.18</v>
      </c>
      <c r="F106" s="42"/>
      <c r="G106" s="42"/>
    </row>
    <row r="107">
      <c r="D107" s="8" t="s">
        <v>298</v>
      </c>
      <c r="E107" s="8">
        <v>18.59</v>
      </c>
      <c r="F107" s="42"/>
      <c r="G107" s="42">
        <f>E107+E109</f>
        <v>32.03</v>
      </c>
    </row>
    <row r="108">
      <c r="F108" s="42"/>
      <c r="G108" s="42"/>
    </row>
    <row r="109">
      <c r="D109" s="8" t="s">
        <v>299</v>
      </c>
      <c r="E109" s="8">
        <v>13.44</v>
      </c>
      <c r="F109" s="42"/>
      <c r="G109" s="42">
        <f>E109+E102</f>
        <v>13.44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4 D7 D16:D18">
      <formula1>"0,1,2"</formula1>
    </dataValidation>
    <dataValidation type="list" allowBlank="1" showErrorMessage="1" sqref="D2:D3 D6 D8:D10">
      <formula1>"0,1,2,3,4,5"</formula1>
    </dataValidation>
    <dataValidation type="list" allowBlank="1" showErrorMessage="1" sqref="F27">
      <formula1>"0,1,2"</formula1>
    </dataValidation>
    <dataValidation type="list" allowBlank="1" showErrorMessage="1" sqref="D5 D11:D14">
      <formula1>"0,1,2,3"</formula1>
    </dataValidation>
    <dataValidation type="list" allowBlank="1" sqref="B19">
      <formula1>"Tauren,Troll,Orc"</formula1>
    </dataValidation>
    <dataValidation type="list" allowBlank="1" showErrorMessage="1" sqref="D15">
      <formula1>"0,1"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75"/>
    <col customWidth="1" min="3" max="3" width="34.0"/>
    <col customWidth="1" min="4" max="4" width="11.75"/>
    <col customWidth="1" min="5" max="5" width="7.75"/>
    <col customWidth="1" min="6" max="6" width="9.88"/>
    <col customWidth="1" min="7" max="7" width="11.75"/>
    <col customWidth="1" min="8" max="8" width="11.25"/>
    <col customWidth="1" min="9" max="9" width="13.5"/>
    <col customWidth="1" min="10" max="10" width="15.13"/>
    <col customWidth="1" min="11" max="11" width="13.38"/>
    <col customWidth="1" min="12" max="12" width="7.38"/>
    <col customWidth="1" min="13" max="13" width="8.88"/>
    <col customWidth="1" min="14" max="14" width="9.25"/>
    <col customWidth="1" min="15" max="15" width="16.38"/>
    <col customWidth="1" min="16" max="16" width="12.63"/>
    <col customWidth="1" min="17" max="17" width="13.75"/>
    <col customWidth="1" min="18" max="18" width="19.13"/>
    <col customWidth="1" min="19" max="19" width="17.0"/>
    <col customWidth="1" min="20" max="20" width="12.25"/>
    <col customWidth="1" min="21" max="21" width="15.38"/>
    <col customWidth="1" min="22" max="22" width="14.88"/>
    <col customWidth="1" min="23" max="23" width="13.75"/>
  </cols>
  <sheetData>
    <row r="1" ht="22.5" customHeight="1">
      <c r="A1" s="173" t="s">
        <v>300</v>
      </c>
      <c r="B1" s="173" t="s">
        <v>301</v>
      </c>
      <c r="C1" s="174" t="s">
        <v>302</v>
      </c>
      <c r="D1" s="174" t="s">
        <v>15</v>
      </c>
      <c r="E1" s="174" t="s">
        <v>303</v>
      </c>
      <c r="F1" s="174" t="s">
        <v>33</v>
      </c>
      <c r="G1" s="174" t="s">
        <v>304</v>
      </c>
      <c r="H1" s="174" t="s">
        <v>305</v>
      </c>
      <c r="I1" s="174" t="s">
        <v>306</v>
      </c>
      <c r="J1" s="174" t="s">
        <v>307</v>
      </c>
      <c r="K1" s="174" t="s">
        <v>58</v>
      </c>
      <c r="L1" s="174" t="s">
        <v>66</v>
      </c>
      <c r="M1" s="174" t="s">
        <v>308</v>
      </c>
      <c r="N1" s="174" t="s">
        <v>72</v>
      </c>
      <c r="O1" s="174" t="s">
        <v>81</v>
      </c>
      <c r="P1" s="174" t="s">
        <v>88</v>
      </c>
      <c r="Q1" s="174" t="s">
        <v>105</v>
      </c>
      <c r="R1" s="174" t="s">
        <v>309</v>
      </c>
      <c r="S1" s="174" t="s">
        <v>113</v>
      </c>
      <c r="T1" s="174" t="s">
        <v>120</v>
      </c>
      <c r="U1" s="174" t="s">
        <v>127</v>
      </c>
      <c r="V1" s="174" t="s">
        <v>134</v>
      </c>
      <c r="W1" s="174" t="s">
        <v>310</v>
      </c>
      <c r="X1" s="4"/>
      <c r="Y1" s="175"/>
      <c r="Z1" s="175"/>
      <c r="AA1" s="175"/>
      <c r="AB1" s="175"/>
      <c r="AC1" s="175"/>
    </row>
    <row r="2" ht="22.5" customHeight="1">
      <c r="A2" s="176" t="s">
        <v>311</v>
      </c>
      <c r="B2" s="177" t="s">
        <v>312</v>
      </c>
      <c r="C2" s="177" t="s">
        <v>313</v>
      </c>
      <c r="D2" s="178">
        <f>IFNA(VLOOKUP(B2,Gear_Data_2[],2, FALSE),"")+IFNA(VLOOKUP(C2,Enchant_Data_2[],2,FALSE),"")</f>
        <v>19</v>
      </c>
      <c r="E2" s="178">
        <f>IFNA(VLOOKUP(B2,Gear_Data_2[],3, FALSE),"")+IFNA(VLOOKUP(C2,Enchant_Data_2[],3,FALSE),"")</f>
        <v>0</v>
      </c>
      <c r="F2" s="178">
        <f>IFNA(VLOOKUP(B2,Gear_Data_2[],4, FALSE),"")+IFNA(VLOOKUP(C2,Enchant_Data_2[],4,FALSE),"")</f>
        <v>16</v>
      </c>
      <c r="G2" s="179">
        <f>IFNA(VLOOKUP(B2,Gear_Data_2[],5, FALSE),"")+IFNA(VLOOKUP(C2,Enchant_Data_2[],5,FALSE),"")</f>
        <v>0.02</v>
      </c>
      <c r="H2" s="179">
        <f>IFNA(VLOOKUP(B2,Gear_Data_2[],6, FALSE),"")+IFNA(VLOOKUP(C2,Enchant_Data_2[],6,FALSE),"")</f>
        <v>0.01</v>
      </c>
      <c r="I2" s="180">
        <f>IFNA(VLOOKUP(B2,Gear_Data_2[],7, FALSE),"")</f>
        <v>0.01</v>
      </c>
      <c r="J2" s="181">
        <f>IFNA(VLOOKUP(C2,Enchant_Data_2[],7, FALSE),"")</f>
        <v>0.01</v>
      </c>
      <c r="K2" s="178">
        <f>IFNA(VLOOKUP(B2,Gear_Data_2[],8, FALSE),"")+IFNA(VLOOKUP(C2,Enchant_Data_2[],8,FALSE),"")</f>
        <v>0</v>
      </c>
      <c r="L2" s="182">
        <f>IFNA(VLOOKUP(B2,Gear_Data_2[],9, FALSE),"")+IFNA(VLOOKUP(C2,Enchant_Data_2[],9,FALSE),"")</f>
        <v>0</v>
      </c>
      <c r="M2" s="178">
        <f>IFNA(VLOOKUP(B2,Gear_Data_2[],10, FALSE),"")+IFNA(VLOOKUP(C2,Enchant_Data_2[],10,FALSE),"")</f>
        <v>19</v>
      </c>
      <c r="N2" s="178">
        <f>IFNA(VLOOKUP(B2,Gear_Data_2[],11, FALSE),"")+IFNA(VLOOKUP(C2,Enchant_Data_2[],11,FALSE),"")</f>
        <v>0</v>
      </c>
      <c r="O2" s="178">
        <f>IFNA(VLOOKUP(B2,Gear_Data_2[],12, FALSE),"")+IFNA(VLOOKUP(C2,Enchant_Data_2[],12,FALSE),"")</f>
        <v>0</v>
      </c>
      <c r="P2" s="178">
        <f>IFNA(VLOOKUP(B2,Gear_Data_2[],13, FALSE),"")+IFNA(VLOOKUP(C2,Enchant_Data_2[],13,FALSE),"")</f>
        <v>0</v>
      </c>
      <c r="Q2" s="178">
        <f>IFNA(VLOOKUP(B2,Gear_Data_2[],14, FALSE),"")+IFNA(VLOOKUP(C2,Enchant_Data_2[],14,FALSE),"")</f>
        <v>0</v>
      </c>
      <c r="R2" s="178">
        <f>IFNA(VLOOKUP(B2,Gear_Data_2[],15, FALSE),"")+IFNA(VLOOKUP(C2,Enchant_Data_2[],15,FALSE),"")</f>
        <v>0</v>
      </c>
      <c r="S2" s="178">
        <f>IFNA(VLOOKUP(B2,Gear_Data_2[],16, FALSE),"")+IFNA(VLOOKUP(C2,Enchant_Data_2[],16,FALSE),"")</f>
        <v>0</v>
      </c>
      <c r="T2" s="178">
        <f>IFNA(VLOOKUP(B2,Gear_Data_2[],17, FALSE),"")+IFNA(VLOOKUP(C2,Enchant_Data_2[],17,FALSE),"")</f>
        <v>0</v>
      </c>
      <c r="U2" s="181">
        <f>IFNA(VLOOKUP(B2,Gear_Data_2[],18, FALSE),"")+IFNA(VLOOKUP(C2,Enchant_Data_2[],18,FALSE),"")</f>
        <v>0</v>
      </c>
      <c r="V2" s="181">
        <f>IFNA(VLOOKUP(B2,Gear_Data_2[],19, FALSE),"")+IFNA(VLOOKUP(C2,Enchant_Data_2[],19,FALSE),"")</f>
        <v>0</v>
      </c>
      <c r="W2" s="183">
        <f>(Statweights!$C$22*E2)+(Statweights!$C$23*D2)+(Statweights!$C$24*F2)+(Statweights!$C$25*M2)+(Statweights!$C$26*G2)+(Statweights!$C$27*H2)+(Statweights!$C$28*I2)+(Statweights!$C$29*K2)+(Statweights!$C$30*L2)+(Statweights!$C$31*R2)+(Statweights!$C$32*S2)+(Statweights!$C$33*T2)+(Statweights!$C$34*U2)+(Statweights!$C$35*V2)+(Statweights!$C$36*Q2)+(Statweights!$C$28*J2)</f>
        <v>65.43509425</v>
      </c>
      <c r="X2" s="4" t="s">
        <v>314</v>
      </c>
      <c r="Y2" s="175"/>
      <c r="Z2" s="175"/>
      <c r="AA2" s="175"/>
      <c r="AB2" s="175"/>
      <c r="AC2" s="175"/>
    </row>
    <row r="3" ht="22.5" customHeight="1">
      <c r="A3" s="176" t="s">
        <v>315</v>
      </c>
      <c r="B3" s="177" t="s">
        <v>316</v>
      </c>
      <c r="C3" s="177" t="s">
        <v>317</v>
      </c>
      <c r="D3" s="178">
        <f>IFNA(VLOOKUP(B3,Gear_Data_2[],2, FALSE),"")+IFNA(VLOOKUP(C3,Enchant_Data_2[],2,FALSE),"")</f>
        <v>0</v>
      </c>
      <c r="E3" s="178">
        <f>IFNA(VLOOKUP(B3,Gear_Data_2[],3, FALSE),"")+IFNA(VLOOKUP(C3,Enchant_Data_2[],3,FALSE),"")</f>
        <v>40</v>
      </c>
      <c r="F3" s="178">
        <f>IFNA(VLOOKUP(B3,Gear_Data_2[],4, FALSE),"")+IFNA(VLOOKUP(C3,Enchant_Data_2[],4,FALSE),"")</f>
        <v>6</v>
      </c>
      <c r="G3" s="179">
        <f>IFNA(VLOOKUP(B3,Gear_Data_2[],5, FALSE),"")+IFNA(VLOOKUP(C3,Enchant_Data_2[],5,FALSE),"")</f>
        <v>0.01</v>
      </c>
      <c r="H3" s="179">
        <f>IFNA(VLOOKUP(B3,Gear_Data_2[],6, FALSE),"")+IFNA(VLOOKUP(C3,Enchant_Data_2[],6,FALSE),"")</f>
        <v>0</v>
      </c>
      <c r="I3" s="180" t="str">
        <f>IFNA(VLOOKUP(B3,Gear_Data_2[],7, FALSE),"")</f>
        <v/>
      </c>
      <c r="J3" s="181" t="str">
        <f>IFNA(VLOOKUP(C3,Enchant_Data_2[],7, FALSE),"")</f>
        <v/>
      </c>
      <c r="K3" s="178">
        <f>IFNA(VLOOKUP(B3,Gear_Data_2[],8, FALSE),"")+IFNA(VLOOKUP(C3,Enchant_Data_2[],8,FALSE),"")</f>
        <v>0</v>
      </c>
      <c r="L3" s="182">
        <f>IFNA(VLOOKUP(B3,Gear_Data_2[],9, FALSE),"")+IFNA(VLOOKUP(C3,Enchant_Data_2[],9,FALSE),"")</f>
        <v>0</v>
      </c>
      <c r="M3" s="178">
        <f>IFNA(VLOOKUP(B3,Gear_Data_2[],10, FALSE),"")+IFNA(VLOOKUP(C3,Enchant_Data_2[],10,FALSE),"")</f>
        <v>0</v>
      </c>
      <c r="N3" s="178">
        <f>IFNA(VLOOKUP(B3,Gear_Data_2[],11, FALSE),"")+IFNA(VLOOKUP(C3,Enchant_Data_2[],11,FALSE),"")</f>
        <v>0</v>
      </c>
      <c r="O3" s="178">
        <f>IFNA(VLOOKUP(B3,Gear_Data_2[],12, FALSE),"")+IFNA(VLOOKUP(C3,Enchant_Data_2[],12,FALSE),"")</f>
        <v>0</v>
      </c>
      <c r="P3" s="178">
        <f>IFNA(VLOOKUP(B3,Gear_Data_2[],13, FALSE),"")+IFNA(VLOOKUP(C3,Enchant_Data_2[],13,FALSE),"")</f>
        <v>0</v>
      </c>
      <c r="Q3" s="178">
        <f>IFNA(VLOOKUP(B3,Gear_Data_2[],14, FALSE),"")+IFNA(VLOOKUP(C3,Enchant_Data_2[],14,FALSE),"")</f>
        <v>0</v>
      </c>
      <c r="R3" s="178">
        <f>IFNA(VLOOKUP(B3,Gear_Data_2[],15, FALSE),"")+IFNA(VLOOKUP(C3,Enchant_Data_2[],15,FALSE),"")</f>
        <v>0</v>
      </c>
      <c r="S3" s="178">
        <f>IFNA(VLOOKUP(B3,Gear_Data_2[],16, FALSE),"")+IFNA(VLOOKUP(C3,Enchant_Data_2[],16,FALSE),"")</f>
        <v>0</v>
      </c>
      <c r="T3" s="178">
        <f>IFNA(VLOOKUP(B3,Gear_Data_2[],17, FALSE),"")+IFNA(VLOOKUP(C3,Enchant_Data_2[],17,FALSE),"")</f>
        <v>0</v>
      </c>
      <c r="U3" s="181">
        <f>IFNA(VLOOKUP(B3,Gear_Data_2[],18, FALSE),"")+IFNA(VLOOKUP(C3,Enchant_Data_2[],18,FALSE),"")</f>
        <v>0</v>
      </c>
      <c r="V3" s="181">
        <f>IFNA(VLOOKUP(B3,Gear_Data_2[],19, FALSE),"")+IFNA(VLOOKUP(C3,Enchant_Data_2[],19,FALSE),"")</f>
        <v>0</v>
      </c>
      <c r="W3" s="183">
        <f>(Statweights!$C$22*E3)+(Statweights!$C$23*D3)+(Statweights!$C$24*F3)+(Statweights!$C$25*M3)+(Statweights!$C$26*G3)+(Statweights!$C$27*H3)+(Statweights!$C$28*I3)+(Statweights!$C$29*K3)+(Statweights!$C$30*L3)+(Statweights!$C$31*R3)+(Statweights!$C$32*S3)+(Statweights!$C$33*T3)+(Statweights!$C$34*U3)+(Statweights!$C$35*V3)+(Statweights!$C$36*Q3)+(Statweights!$C$28*J3)</f>
        <v>47.32007591</v>
      </c>
      <c r="X3" s="4" t="s">
        <v>318</v>
      </c>
      <c r="Y3" s="175"/>
      <c r="Z3" s="175"/>
      <c r="AA3" s="175"/>
      <c r="AB3" s="175"/>
      <c r="AC3" s="175"/>
    </row>
    <row r="4" ht="22.5" customHeight="1">
      <c r="A4" s="176" t="s">
        <v>319</v>
      </c>
      <c r="B4" s="177" t="s">
        <v>320</v>
      </c>
      <c r="C4" s="177" t="s">
        <v>321</v>
      </c>
      <c r="D4" s="178">
        <f>IFNA(VLOOKUP(B4,Gear_Data_2[],2, FALSE),"")+IFNA(VLOOKUP(C4,Enchant_Data_2[],2,FALSE),"")</f>
        <v>19</v>
      </c>
      <c r="E4" s="178">
        <f>IFNA(VLOOKUP(B4,Gear_Data_2[],3, FALSE),"")+IFNA(VLOOKUP(C4,Enchant_Data_2[],3,FALSE),"")</f>
        <v>26</v>
      </c>
      <c r="F4" s="178">
        <f>IFNA(VLOOKUP(B4,Gear_Data_2[],4, FALSE),"")+IFNA(VLOOKUP(C4,Enchant_Data_2[],4,FALSE),"")</f>
        <v>18</v>
      </c>
      <c r="G4" s="179">
        <f>IFNA(VLOOKUP(B4,Gear_Data_2[],5, FALSE),"")+IFNA(VLOOKUP(C4,Enchant_Data_2[],5,FALSE),"")</f>
        <v>0.02</v>
      </c>
      <c r="H4" s="179">
        <f>IFNA(VLOOKUP(B4,Gear_Data_2[],6, FALSE),"")+IFNA(VLOOKUP(C4,Enchant_Data_2[],6,FALSE),"")</f>
        <v>0</v>
      </c>
      <c r="I4" s="180" t="str">
        <f>IFNA(VLOOKUP(B4,Gear_Data_2[],7, FALSE),"")</f>
        <v/>
      </c>
      <c r="J4" s="181" t="str">
        <f>IFNA(VLOOKUP(C4,Enchant_Data_2[],7, FALSE),"")</f>
        <v/>
      </c>
      <c r="K4" s="178">
        <f>IFNA(VLOOKUP(B4,Gear_Data_2[],8, FALSE),"")+IFNA(VLOOKUP(C4,Enchant_Data_2[],8,FALSE),"")</f>
        <v>0</v>
      </c>
      <c r="L4" s="182">
        <f>IFNA(VLOOKUP(B4,Gear_Data_2[],9, FALSE),"")+IFNA(VLOOKUP(C4,Enchant_Data_2[],9,FALSE),"")</f>
        <v>0</v>
      </c>
      <c r="M4" s="178">
        <f>IFNA(VLOOKUP(B4,Gear_Data_2[],10, FALSE),"")+IFNA(VLOOKUP(C4,Enchant_Data_2[],10,FALSE),"")</f>
        <v>12</v>
      </c>
      <c r="N4" s="178">
        <f>IFNA(VLOOKUP(B4,Gear_Data_2[],11, FALSE),"")+IFNA(VLOOKUP(C4,Enchant_Data_2[],11,FALSE),"")</f>
        <v>0</v>
      </c>
      <c r="O4" s="178">
        <f>IFNA(VLOOKUP(B4,Gear_Data_2[],12, FALSE),"")+IFNA(VLOOKUP(C4,Enchant_Data_2[],12,FALSE),"")</f>
        <v>0</v>
      </c>
      <c r="P4" s="178">
        <f>IFNA(VLOOKUP(B4,Gear_Data_2[],13, FALSE),"")+IFNA(VLOOKUP(C4,Enchant_Data_2[],13,FALSE),"")</f>
        <v>0</v>
      </c>
      <c r="Q4" s="178">
        <f>IFNA(VLOOKUP(B4,Gear_Data_2[],14, FALSE),"")+IFNA(VLOOKUP(C4,Enchant_Data_2[],14,FALSE),"")</f>
        <v>0</v>
      </c>
      <c r="R4" s="178">
        <f>IFNA(VLOOKUP(B4,Gear_Data_2[],15, FALSE),"")+IFNA(VLOOKUP(C4,Enchant_Data_2[],15,FALSE),"")</f>
        <v>0</v>
      </c>
      <c r="S4" s="178">
        <f>IFNA(VLOOKUP(B4,Gear_Data_2[],16, FALSE),"")+IFNA(VLOOKUP(C4,Enchant_Data_2[],16,FALSE),"")</f>
        <v>0</v>
      </c>
      <c r="T4" s="178">
        <f>IFNA(VLOOKUP(B4,Gear_Data_2[],17, FALSE),"")+IFNA(VLOOKUP(C4,Enchant_Data_2[],17,FALSE),"")</f>
        <v>0</v>
      </c>
      <c r="U4" s="181">
        <f>IFNA(VLOOKUP(B4,Gear_Data_2[],18, FALSE),"")+IFNA(VLOOKUP(C4,Enchant_Data_2[],18,FALSE),"")</f>
        <v>0</v>
      </c>
      <c r="V4" s="181">
        <f>IFNA(VLOOKUP(B4,Gear_Data_2[],19, FALSE),"")+IFNA(VLOOKUP(C4,Enchant_Data_2[],19,FALSE),"")</f>
        <v>0</v>
      </c>
      <c r="W4" s="183">
        <f>(Statweights!$C$22*E4)+(Statweights!$C$23*D4)+(Statweights!$C$24*F4)+(Statweights!$C$25*M4)+(Statweights!$C$26*G4)+(Statweights!$C$27*H4)+(Statweights!$C$28*I4)+(Statweights!$C$29*K4)+(Statweights!$C$30*L4)+(Statweights!$C$31*R4)+(Statweights!$C$32*S4)+(Statweights!$C$33*T4)+(Statweights!$C$34*U4)+(Statweights!$C$35*V4)+(Statweights!$C$36*Q4)+(Statweights!$C$28*J4)</f>
        <v>93.96037588</v>
      </c>
      <c r="X4" s="4" t="s">
        <v>322</v>
      </c>
      <c r="Y4" s="175"/>
      <c r="Z4" s="175"/>
      <c r="AA4" s="175"/>
      <c r="AB4" s="175"/>
      <c r="AC4" s="175"/>
    </row>
    <row r="5" ht="22.5" customHeight="1">
      <c r="A5" s="176" t="s">
        <v>323</v>
      </c>
      <c r="B5" s="177" t="s">
        <v>324</v>
      </c>
      <c r="C5" s="177" t="s">
        <v>325</v>
      </c>
      <c r="D5" s="178">
        <f>IFNA(VLOOKUP(B5,Gear_Data_2[],2, FALSE),"")+IFNA(VLOOKUP(C5,Enchant_Data_2[],2,FALSE),"")</f>
        <v>11</v>
      </c>
      <c r="E5" s="178">
        <f>IFNA(VLOOKUP(B5,Gear_Data_2[],3, FALSE),"")+IFNA(VLOOKUP(C5,Enchant_Data_2[],3,FALSE),"")</f>
        <v>0</v>
      </c>
      <c r="F5" s="178">
        <f>IFNA(VLOOKUP(B5,Gear_Data_2[],4, FALSE),"")+IFNA(VLOOKUP(C5,Enchant_Data_2[],4,FALSE),"")</f>
        <v>11</v>
      </c>
      <c r="G5" s="179">
        <f>IFNA(VLOOKUP(B5,Gear_Data_2[],5, FALSE),"")+IFNA(VLOOKUP(C5,Enchant_Data_2[],5,FALSE),"")</f>
        <v>0</v>
      </c>
      <c r="H5" s="179">
        <f>IFNA(VLOOKUP(B5,Gear_Data_2[],6, FALSE),"")+IFNA(VLOOKUP(C5,Enchant_Data_2[],6,FALSE),"")</f>
        <v>0</v>
      </c>
      <c r="I5" s="180">
        <f>IFNA(VLOOKUP(B5,Gear_Data_2[],7, FALSE),"")</f>
        <v>0.01</v>
      </c>
      <c r="J5" s="181" t="str">
        <f>IFNA(VLOOKUP(C5,Enchant_Data_2[],7, FALSE),"")</f>
        <v/>
      </c>
      <c r="K5" s="178">
        <f>IFNA(VLOOKUP(B5,Gear_Data_2[],8, FALSE),"")+IFNA(VLOOKUP(C5,Enchant_Data_2[],8,FALSE),"")</f>
        <v>0</v>
      </c>
      <c r="L5" s="182">
        <f>IFNA(VLOOKUP(B5,Gear_Data_2[],9, FALSE),"")+IFNA(VLOOKUP(C5,Enchant_Data_2[],9,FALSE),"")</f>
        <v>0</v>
      </c>
      <c r="M5" s="178">
        <f>IFNA(VLOOKUP(B5,Gear_Data_2[],10, FALSE),"")+IFNA(VLOOKUP(C5,Enchant_Data_2[],10,FALSE),"")</f>
        <v>0</v>
      </c>
      <c r="N5" s="178">
        <f>IFNA(VLOOKUP(B5,Gear_Data_2[],11, FALSE),"")+IFNA(VLOOKUP(C5,Enchant_Data_2[],11,FALSE),"")</f>
        <v>0</v>
      </c>
      <c r="O5" s="178">
        <f>IFNA(VLOOKUP(B5,Gear_Data_2[],12, FALSE),"")+IFNA(VLOOKUP(C5,Enchant_Data_2[],12,FALSE),"")</f>
        <v>0</v>
      </c>
      <c r="P5" s="178">
        <f>IFNA(VLOOKUP(B5,Gear_Data_2[],13, FALSE),"")+IFNA(VLOOKUP(C5,Enchant_Data_2[],13,FALSE),"")</f>
        <v>0</v>
      </c>
      <c r="Q5" s="178">
        <f>IFNA(VLOOKUP(B5,Gear_Data_2[],14, FALSE),"")+IFNA(VLOOKUP(C5,Enchant_Data_2[],14,FALSE),"")</f>
        <v>0</v>
      </c>
      <c r="R5" s="178">
        <f>IFNA(VLOOKUP(B5,Gear_Data_2[],15, FALSE),"")+IFNA(VLOOKUP(C5,Enchant_Data_2[],15,FALSE),"")</f>
        <v>0</v>
      </c>
      <c r="S5" s="178">
        <f>IFNA(VLOOKUP(B5,Gear_Data_2[],16, FALSE),"")+IFNA(VLOOKUP(C5,Enchant_Data_2[],16,FALSE),"")</f>
        <v>0</v>
      </c>
      <c r="T5" s="178">
        <f>IFNA(VLOOKUP(B5,Gear_Data_2[],17, FALSE),"")+IFNA(VLOOKUP(C5,Enchant_Data_2[],17,FALSE),"")</f>
        <v>0</v>
      </c>
      <c r="U5" s="181">
        <f>IFNA(VLOOKUP(B5,Gear_Data_2[],18, FALSE),"")+IFNA(VLOOKUP(C5,Enchant_Data_2[],18,FALSE),"")</f>
        <v>0</v>
      </c>
      <c r="V5" s="181">
        <f>IFNA(VLOOKUP(B5,Gear_Data_2[],19, FALSE),"")+IFNA(VLOOKUP(C5,Enchant_Data_2[],19,FALSE),"")</f>
        <v>0</v>
      </c>
      <c r="W5" s="183">
        <f>(Statweights!$C$22*E5)+(Statweights!$C$23*D5)+(Statweights!$C$24*F5)+(Statweights!$C$25*M5)+(Statweights!$C$26*G5)+(Statweights!$C$27*H5)+(Statweights!$C$28*I5)+(Statweights!$C$29*K5)+(Statweights!$C$30*L5)+(Statweights!$C$31*R5)+(Statweights!$C$32*S5)+(Statweights!$C$33*T5)+(Statweights!$C$34*U5)+(Statweights!$C$35*V5)+(Statweights!$C$36*Q5)+(Statweights!$C$28*J5)</f>
        <v>40.21045886</v>
      </c>
      <c r="X5" s="4"/>
      <c r="Y5" s="175"/>
      <c r="Z5" s="175"/>
      <c r="AA5" s="175"/>
      <c r="AB5" s="175"/>
      <c r="AC5" s="175"/>
    </row>
    <row r="6" ht="22.5" customHeight="1">
      <c r="A6" s="176" t="s">
        <v>326</v>
      </c>
      <c r="B6" s="177" t="s">
        <v>327</v>
      </c>
      <c r="C6" s="177" t="s">
        <v>328</v>
      </c>
      <c r="D6" s="178">
        <f>IFNA(VLOOKUP(B6,Gear_Data_2[],2, FALSE),"")+IFNA(VLOOKUP(C6,Enchant_Data_2[],2,FALSE),"")</f>
        <v>34</v>
      </c>
      <c r="E6" s="178">
        <f>IFNA(VLOOKUP(B6,Gear_Data_2[],3, FALSE),"")+IFNA(VLOOKUP(C6,Enchant_Data_2[],3,FALSE),"")</f>
        <v>0</v>
      </c>
      <c r="F6" s="178">
        <f>IFNA(VLOOKUP(B6,Gear_Data_2[],4, FALSE),"")+IFNA(VLOOKUP(C6,Enchant_Data_2[],4,FALSE),"")</f>
        <v>34</v>
      </c>
      <c r="G6" s="179">
        <f>IFNA(VLOOKUP(B6,Gear_Data_2[],5, FALSE),"")+IFNA(VLOOKUP(C6,Enchant_Data_2[],5,FALSE),"")</f>
        <v>0.01</v>
      </c>
      <c r="H6" s="179">
        <f>IFNA(VLOOKUP(B6,Gear_Data_2[],6, FALSE),"")+IFNA(VLOOKUP(C6,Enchant_Data_2[],6,FALSE),"")</f>
        <v>0</v>
      </c>
      <c r="I6" s="180">
        <f>IFNA(VLOOKUP(B6,Gear_Data_2[],7, FALSE),"")</f>
        <v>0.02</v>
      </c>
      <c r="J6" s="181" t="str">
        <f>IFNA(VLOOKUP(C6,Enchant_Data_2[],7, FALSE),"")</f>
        <v/>
      </c>
      <c r="K6" s="178">
        <f>IFNA(VLOOKUP(B6,Gear_Data_2[],8, FALSE),"")+IFNA(VLOOKUP(C6,Enchant_Data_2[],8,FALSE),"")</f>
        <v>0</v>
      </c>
      <c r="L6" s="182">
        <f>IFNA(VLOOKUP(B6,Gear_Data_2[],9, FALSE),"")+IFNA(VLOOKUP(C6,Enchant_Data_2[],9,FALSE),"")</f>
        <v>0</v>
      </c>
      <c r="M6" s="178">
        <f>IFNA(VLOOKUP(B6,Gear_Data_2[],10, FALSE),"")+IFNA(VLOOKUP(C6,Enchant_Data_2[],10,FALSE),"")</f>
        <v>20</v>
      </c>
      <c r="N6" s="178">
        <f>IFNA(VLOOKUP(B6,Gear_Data_2[],11, FALSE),"")+IFNA(VLOOKUP(C6,Enchant_Data_2[],11,FALSE),"")</f>
        <v>0</v>
      </c>
      <c r="O6" s="178">
        <f>IFNA(VLOOKUP(B6,Gear_Data_2[],12, FALSE),"")+IFNA(VLOOKUP(C6,Enchant_Data_2[],12,FALSE),"")</f>
        <v>4</v>
      </c>
      <c r="P6" s="178">
        <f>IFNA(VLOOKUP(B6,Gear_Data_2[],13, FALSE),"")+IFNA(VLOOKUP(C6,Enchant_Data_2[],13,FALSE),"")</f>
        <v>0</v>
      </c>
      <c r="Q6" s="178">
        <f>IFNA(VLOOKUP(B6,Gear_Data_2[],14, FALSE),"")+IFNA(VLOOKUP(C6,Enchant_Data_2[],14,FALSE),"")</f>
        <v>0</v>
      </c>
      <c r="R6" s="178">
        <f>IFNA(VLOOKUP(B6,Gear_Data_2[],15, FALSE),"")+IFNA(VLOOKUP(C6,Enchant_Data_2[],15,FALSE),"")</f>
        <v>0</v>
      </c>
      <c r="S6" s="178">
        <f>IFNA(VLOOKUP(B6,Gear_Data_2[],16, FALSE),"")+IFNA(VLOOKUP(C6,Enchant_Data_2[],16,FALSE),"")</f>
        <v>0</v>
      </c>
      <c r="T6" s="178">
        <f>IFNA(VLOOKUP(B6,Gear_Data_2[],17, FALSE),"")+IFNA(VLOOKUP(C6,Enchant_Data_2[],17,FALSE),"")</f>
        <v>0</v>
      </c>
      <c r="U6" s="181">
        <f>IFNA(VLOOKUP(B6,Gear_Data_2[],18, FALSE),"")+IFNA(VLOOKUP(C6,Enchant_Data_2[],18,FALSE),"")</f>
        <v>0</v>
      </c>
      <c r="V6" s="181">
        <f>IFNA(VLOOKUP(B6,Gear_Data_2[],19, FALSE),"")+IFNA(VLOOKUP(C6,Enchant_Data_2[],19,FALSE),"")</f>
        <v>0</v>
      </c>
      <c r="W6" s="183">
        <f>(Statweights!$C$22*E6)+(Statweights!$C$23*D6)+(Statweights!$C$24*F6)+(Statweights!$C$25*M6)+(Statweights!$C$26*G6)+(Statweights!$C$27*H6)+(Statweights!$C$28*I6)+(Statweights!$C$29*K6)+(Statweights!$C$30*L6)+(Statweights!$C$31*R6)+(Statweights!$C$32*S6)+(Statweights!$C$33*T6)+(Statweights!$C$34*U6)+(Statweights!$C$35*V6)+(Statweights!$C$36*Q6)+(Statweights!$C$28*J6)</f>
        <v>123.6345228</v>
      </c>
      <c r="X6" s="4"/>
      <c r="Y6" s="175"/>
      <c r="Z6" s="175"/>
      <c r="AA6" s="175"/>
      <c r="AB6" s="175"/>
      <c r="AC6" s="175"/>
    </row>
    <row r="7" ht="22.5" customHeight="1">
      <c r="A7" s="176" t="s">
        <v>329</v>
      </c>
      <c r="B7" s="177" t="s">
        <v>330</v>
      </c>
      <c r="C7" s="177" t="s">
        <v>331</v>
      </c>
      <c r="D7" s="178">
        <f>IFNA(VLOOKUP(B7,Gear_Data_2[],2, FALSE),"")+IFNA(VLOOKUP(C7,Enchant_Data_2[],2,FALSE),"")</f>
        <v>25</v>
      </c>
      <c r="E7" s="178">
        <f>IFNA(VLOOKUP(B7,Gear_Data_2[],3, FALSE),"")+IFNA(VLOOKUP(C7,Enchant_Data_2[],3,FALSE),"")</f>
        <v>0</v>
      </c>
      <c r="F7" s="178">
        <f>IFNA(VLOOKUP(B7,Gear_Data_2[],4, FALSE),"")+IFNA(VLOOKUP(C7,Enchant_Data_2[],4,FALSE),"")</f>
        <v>12</v>
      </c>
      <c r="G7" s="179">
        <f>IFNA(VLOOKUP(B7,Gear_Data_2[],5, FALSE),"")+IFNA(VLOOKUP(C7,Enchant_Data_2[],5,FALSE),"")</f>
        <v>0</v>
      </c>
      <c r="H7" s="179">
        <f>IFNA(VLOOKUP(B7,Gear_Data_2[],6, FALSE),"")+IFNA(VLOOKUP(C7,Enchant_Data_2[],6,FALSE),"")</f>
        <v>0.01</v>
      </c>
      <c r="I7" s="180" t="str">
        <f>IFNA(VLOOKUP(B7,Gear_Data_2[],7, FALSE),"")</f>
        <v/>
      </c>
      <c r="J7" s="181" t="str">
        <f>IFNA(VLOOKUP(C7,Enchant_Data_2[],7, FALSE),"")</f>
        <v/>
      </c>
      <c r="K7" s="178">
        <f>IFNA(VLOOKUP(B7,Gear_Data_2[],8, FALSE),"")+IFNA(VLOOKUP(C7,Enchant_Data_2[],8,FALSE),"")</f>
        <v>0</v>
      </c>
      <c r="L7" s="182">
        <f>IFNA(VLOOKUP(B7,Gear_Data_2[],9, FALSE),"")+IFNA(VLOOKUP(C7,Enchant_Data_2[],9,FALSE),"")</f>
        <v>0</v>
      </c>
      <c r="M7" s="178">
        <f>IFNA(VLOOKUP(B7,Gear_Data_2[],10, FALSE),"")+IFNA(VLOOKUP(C7,Enchant_Data_2[],10,FALSE),"")</f>
        <v>10</v>
      </c>
      <c r="N7" s="178">
        <f>IFNA(VLOOKUP(B7,Gear_Data_2[],11, FALSE),"")+IFNA(VLOOKUP(C7,Enchant_Data_2[],11,FALSE),"")</f>
        <v>0</v>
      </c>
      <c r="O7" s="178">
        <f>IFNA(VLOOKUP(B7,Gear_Data_2[],12, FALSE),"")+IFNA(VLOOKUP(C7,Enchant_Data_2[],12,FALSE),"")</f>
        <v>0</v>
      </c>
      <c r="P7" s="178">
        <f>IFNA(VLOOKUP(B7,Gear_Data_2[],13, FALSE),"")+IFNA(VLOOKUP(C7,Enchant_Data_2[],13,FALSE),"")</f>
        <v>0</v>
      </c>
      <c r="Q7" s="178">
        <f>IFNA(VLOOKUP(B7,Gear_Data_2[],14, FALSE),"")+IFNA(VLOOKUP(C7,Enchant_Data_2[],14,FALSE),"")</f>
        <v>0</v>
      </c>
      <c r="R7" s="178">
        <f>IFNA(VLOOKUP(B7,Gear_Data_2[],15, FALSE),"")+IFNA(VLOOKUP(C7,Enchant_Data_2[],15,FALSE),"")</f>
        <v>0</v>
      </c>
      <c r="S7" s="178">
        <f>IFNA(VLOOKUP(B7,Gear_Data_2[],16, FALSE),"")+IFNA(VLOOKUP(C7,Enchant_Data_2[],16,FALSE),"")</f>
        <v>0</v>
      </c>
      <c r="T7" s="178">
        <f>IFNA(VLOOKUP(B7,Gear_Data_2[],17, FALSE),"")+IFNA(VLOOKUP(C7,Enchant_Data_2[],17,FALSE),"")</f>
        <v>0</v>
      </c>
      <c r="U7" s="181">
        <f>IFNA(VLOOKUP(B7,Gear_Data_2[],18, FALSE),"")+IFNA(VLOOKUP(C7,Enchant_Data_2[],18,FALSE),"")</f>
        <v>0</v>
      </c>
      <c r="V7" s="181">
        <f>IFNA(VLOOKUP(B7,Gear_Data_2[],19, FALSE),"")+IFNA(VLOOKUP(C7,Enchant_Data_2[],19,FALSE),"")</f>
        <v>0</v>
      </c>
      <c r="W7" s="183">
        <f>(Statweights!$C$22*E7)+(Statweights!$C$23*D7)+(Statweights!$C$24*F7)+(Statweights!$C$25*M7)+(Statweights!$C$26*G7)+(Statweights!$C$27*H7)+(Statweights!$C$28*I7)+(Statweights!$C$29*K7)+(Statweights!$C$30*L7)+(Statweights!$C$31*R7)+(Statweights!$C$32*S7)+(Statweights!$C$33*T7)+(Statweights!$C$34*U7)+(Statweights!$C$35*V7)+(Statweights!$C$36*Q7)+(Statweights!$C$28*J7)</f>
        <v>75.16708168</v>
      </c>
      <c r="X7" s="4"/>
      <c r="Y7" s="175"/>
      <c r="Z7" s="175"/>
      <c r="AA7" s="175"/>
      <c r="AB7" s="175"/>
      <c r="AC7" s="175"/>
    </row>
    <row r="8" ht="22.5" customHeight="1">
      <c r="A8" s="176" t="s">
        <v>332</v>
      </c>
      <c r="B8" s="177" t="s">
        <v>333</v>
      </c>
      <c r="C8" s="177" t="s">
        <v>334</v>
      </c>
      <c r="D8" s="178">
        <f>IFNA(VLOOKUP(B8,Gear_Data_2[],2, FALSE),"")+IFNA(VLOOKUP(C8,Enchant_Data_2[],2,FALSE),"")</f>
        <v>0</v>
      </c>
      <c r="E8" s="178">
        <f>IFNA(VLOOKUP(B8,Gear_Data_2[],3, FALSE),"")+IFNA(VLOOKUP(C8,Enchant_Data_2[],3,FALSE),"")</f>
        <v>54</v>
      </c>
      <c r="F8" s="178">
        <f>IFNA(VLOOKUP(B8,Gear_Data_2[],4, FALSE),"")+IFNA(VLOOKUP(C8,Enchant_Data_2[],4,FALSE),"")</f>
        <v>15</v>
      </c>
      <c r="G8" s="179">
        <f>IFNA(VLOOKUP(B8,Gear_Data_2[],5, FALSE),"")+IFNA(VLOOKUP(C8,Enchant_Data_2[],5,FALSE),"")</f>
        <v>0.01</v>
      </c>
      <c r="H8" s="179">
        <f>IFNA(VLOOKUP(B8,Gear_Data_2[],6, FALSE),"")+IFNA(VLOOKUP(C8,Enchant_Data_2[],6,FALSE),"")</f>
        <v>0</v>
      </c>
      <c r="I8" s="180" t="str">
        <f>IFNA(VLOOKUP(B8,Gear_Data_2[],7, FALSE),"")</f>
        <v/>
      </c>
      <c r="J8" s="181" t="str">
        <f>IFNA(VLOOKUP(C8,Enchant_Data_2[],7, FALSE),"")</f>
        <v/>
      </c>
      <c r="K8" s="178">
        <f>IFNA(VLOOKUP(B8,Gear_Data_2[],8, FALSE),"")+IFNA(VLOOKUP(C8,Enchant_Data_2[],8,FALSE),"")</f>
        <v>7</v>
      </c>
      <c r="L8" s="182">
        <f>IFNA(VLOOKUP(B8,Gear_Data_2[],9, FALSE),"")+IFNA(VLOOKUP(C8,Enchant_Data_2[],9,FALSE),"")</f>
        <v>0</v>
      </c>
      <c r="M8" s="178">
        <f>IFNA(VLOOKUP(B8,Gear_Data_2[],10, FALSE),"")+IFNA(VLOOKUP(C8,Enchant_Data_2[],10,FALSE),"")</f>
        <v>0</v>
      </c>
      <c r="N8" s="178">
        <f>IFNA(VLOOKUP(B8,Gear_Data_2[],11, FALSE),"")+IFNA(VLOOKUP(C8,Enchant_Data_2[],11,FALSE),"")</f>
        <v>0</v>
      </c>
      <c r="O8" s="178">
        <f>IFNA(VLOOKUP(B8,Gear_Data_2[],12, FALSE),"")+IFNA(VLOOKUP(C8,Enchant_Data_2[],12,FALSE),"")</f>
        <v>0</v>
      </c>
      <c r="P8" s="178">
        <f>IFNA(VLOOKUP(B8,Gear_Data_2[],13, FALSE),"")+IFNA(VLOOKUP(C8,Enchant_Data_2[],13,FALSE),"")</f>
        <v>0</v>
      </c>
      <c r="Q8" s="178">
        <f>IFNA(VLOOKUP(B8,Gear_Data_2[],14, FALSE),"")+IFNA(VLOOKUP(C8,Enchant_Data_2[],14,FALSE),"")</f>
        <v>0</v>
      </c>
      <c r="R8" s="178">
        <f>IFNA(VLOOKUP(B8,Gear_Data_2[],15, FALSE),"")+IFNA(VLOOKUP(C8,Enchant_Data_2[],15,FALSE),"")</f>
        <v>0</v>
      </c>
      <c r="S8" s="178">
        <f>IFNA(VLOOKUP(B8,Gear_Data_2[],16, FALSE),"")+IFNA(VLOOKUP(C8,Enchant_Data_2[],16,FALSE),"")</f>
        <v>0</v>
      </c>
      <c r="T8" s="178">
        <f>IFNA(VLOOKUP(B8,Gear_Data_2[],17, FALSE),"")+IFNA(VLOOKUP(C8,Enchant_Data_2[],17,FALSE),"")</f>
        <v>0</v>
      </c>
      <c r="U8" s="181">
        <f>IFNA(VLOOKUP(B8,Gear_Data_2[],18, FALSE),"")+IFNA(VLOOKUP(C8,Enchant_Data_2[],18,FALSE),"")</f>
        <v>0</v>
      </c>
      <c r="V8" s="181">
        <f>IFNA(VLOOKUP(B8,Gear_Data_2[],19, FALSE),"")+IFNA(VLOOKUP(C8,Enchant_Data_2[],19,FALSE),"")</f>
        <v>0</v>
      </c>
      <c r="W8" s="183">
        <f>(Statweights!$C$22*E8)+(Statweights!$C$23*D8)+(Statweights!$C$24*F8)+(Statweights!$C$25*M8)+(Statweights!$C$26*G8)+(Statweights!$C$27*H8)+(Statweights!$C$28*I8)+(Statweights!$C$29*K8)+(Statweights!$C$30*L8)+(Statweights!$C$31*R8)+(Statweights!$C$32*S8)+(Statweights!$C$33*T8)+(Statweights!$C$34*U8)+(Statweights!$C$35*V8)+(Statweights!$C$36*Q8)+(Statweights!$C$28*J8)</f>
        <v>137.476764</v>
      </c>
      <c r="X8" s="4"/>
      <c r="Y8" s="175"/>
      <c r="Z8" s="175"/>
      <c r="AA8" s="175"/>
      <c r="AB8" s="175"/>
      <c r="AC8" s="175"/>
    </row>
    <row r="9" ht="22.5" customHeight="1">
      <c r="A9" s="176" t="s">
        <v>335</v>
      </c>
      <c r="B9" s="177" t="s">
        <v>336</v>
      </c>
      <c r="C9" s="177" t="s">
        <v>337</v>
      </c>
      <c r="D9" s="178">
        <f>IFNA(VLOOKUP(B9,Gear_Data_2[],2, FALSE),"")+IFNA(VLOOKUP(C9,Enchant_Data_2[],2,FALSE),"")</f>
        <v>30</v>
      </c>
      <c r="E9" s="178">
        <f>IFNA(VLOOKUP(B9,Gear_Data_2[],3, FALSE),"")+IFNA(VLOOKUP(C9,Enchant_Data_2[],3,FALSE),"")</f>
        <v>0</v>
      </c>
      <c r="F9" s="178">
        <f>IFNA(VLOOKUP(B9,Gear_Data_2[],4, FALSE),"")+IFNA(VLOOKUP(C9,Enchant_Data_2[],4,FALSE),"")</f>
        <v>17</v>
      </c>
      <c r="G9" s="179">
        <f>IFNA(VLOOKUP(B9,Gear_Data_2[],5, FALSE),"")+IFNA(VLOOKUP(C9,Enchant_Data_2[],5,FALSE),"")</f>
        <v>0.01</v>
      </c>
      <c r="H9" s="179">
        <f>IFNA(VLOOKUP(B9,Gear_Data_2[],6, FALSE),"")+IFNA(VLOOKUP(C9,Enchant_Data_2[],6,FALSE),"")</f>
        <v>0</v>
      </c>
      <c r="I9" s="180" t="str">
        <f>IFNA(VLOOKUP(B9,Gear_Data_2[],7, FALSE),"")</f>
        <v/>
      </c>
      <c r="J9" s="181" t="str">
        <f>IFNA(VLOOKUP(C9,Enchant_Data_2[],7, FALSE),"")</f>
        <v/>
      </c>
      <c r="K9" s="178">
        <f>IFNA(VLOOKUP(B9,Gear_Data_2[],8, FALSE),"")+IFNA(VLOOKUP(C9,Enchant_Data_2[],8,FALSE),"")</f>
        <v>0</v>
      </c>
      <c r="L9" s="182">
        <f>IFNA(VLOOKUP(B9,Gear_Data_2[],9, FALSE),"")+IFNA(VLOOKUP(C9,Enchant_Data_2[],9,FALSE),"")</f>
        <v>0</v>
      </c>
      <c r="M9" s="178">
        <f>IFNA(VLOOKUP(B9,Gear_Data_2[],10, FALSE),"")+IFNA(VLOOKUP(C9,Enchant_Data_2[],10,FALSE),"")</f>
        <v>14</v>
      </c>
      <c r="N9" s="178">
        <f>IFNA(VLOOKUP(B9,Gear_Data_2[],11, FALSE),"")+IFNA(VLOOKUP(C9,Enchant_Data_2[],11,FALSE),"")</f>
        <v>0</v>
      </c>
      <c r="O9" s="178">
        <f>IFNA(VLOOKUP(B9,Gear_Data_2[],12, FALSE),"")+IFNA(VLOOKUP(C9,Enchant_Data_2[],12,FALSE),"")</f>
        <v>0</v>
      </c>
      <c r="P9" s="178">
        <f>IFNA(VLOOKUP(B9,Gear_Data_2[],13, FALSE),"")+IFNA(VLOOKUP(C9,Enchant_Data_2[],13,FALSE),"")</f>
        <v>0</v>
      </c>
      <c r="Q9" s="178">
        <f>IFNA(VLOOKUP(B9,Gear_Data_2[],14, FALSE),"")+IFNA(VLOOKUP(C9,Enchant_Data_2[],14,FALSE),"")</f>
        <v>0</v>
      </c>
      <c r="R9" s="178">
        <f>IFNA(VLOOKUP(B9,Gear_Data_2[],15, FALSE),"")+IFNA(VLOOKUP(C9,Enchant_Data_2[],15,FALSE),"")</f>
        <v>0</v>
      </c>
      <c r="S9" s="178">
        <f>IFNA(VLOOKUP(B9,Gear_Data_2[],16, FALSE),"")+IFNA(VLOOKUP(C9,Enchant_Data_2[],16,FALSE),"")</f>
        <v>0</v>
      </c>
      <c r="T9" s="178">
        <f>IFNA(VLOOKUP(B9,Gear_Data_2[],17, FALSE),"")+IFNA(VLOOKUP(C9,Enchant_Data_2[],17,FALSE),"")</f>
        <v>0</v>
      </c>
      <c r="U9" s="181">
        <f>IFNA(VLOOKUP(B9,Gear_Data_2[],18, FALSE),"")+IFNA(VLOOKUP(C9,Enchant_Data_2[],18,FALSE),"")</f>
        <v>0</v>
      </c>
      <c r="V9" s="181">
        <f>IFNA(VLOOKUP(B9,Gear_Data_2[],19, FALSE),"")+IFNA(VLOOKUP(C9,Enchant_Data_2[],19,FALSE),"")</f>
        <v>0</v>
      </c>
      <c r="W9" s="183">
        <f>(Statweights!$C$22*E9)+(Statweights!$C$23*D9)+(Statweights!$C$24*F9)+(Statweights!$C$25*M9)+(Statweights!$C$26*G9)+(Statweights!$C$27*H9)+(Statweights!$C$28*I9)+(Statweights!$C$29*K9)+(Statweights!$C$30*L9)+(Statweights!$C$31*R9)+(Statweights!$C$32*S9)+(Statweights!$C$33*T9)+(Statweights!$C$34*U9)+(Statweights!$C$35*V9)+(Statweights!$C$36*Q9)+(Statweights!$C$28*J9)</f>
        <v>93.50470885</v>
      </c>
      <c r="X9" s="4"/>
      <c r="Y9" s="175"/>
      <c r="Z9" s="175"/>
      <c r="AA9" s="175"/>
      <c r="AB9" s="175"/>
      <c r="AC9" s="175"/>
    </row>
    <row r="10" ht="22.5" customHeight="1">
      <c r="A10" s="176" t="s">
        <v>338</v>
      </c>
      <c r="B10" s="177" t="s">
        <v>339</v>
      </c>
      <c r="C10" s="177" t="s">
        <v>313</v>
      </c>
      <c r="D10" s="178">
        <f>IFNA(VLOOKUP(B10,Gear_Data_2[],2, FALSE),"")+IFNA(VLOOKUP(C10,Enchant_Data_2[],2,FALSE),"")</f>
        <v>30</v>
      </c>
      <c r="E10" s="178">
        <f>IFNA(VLOOKUP(B10,Gear_Data_2[],3, FALSE),"")+IFNA(VLOOKUP(C10,Enchant_Data_2[],3,FALSE),"")</f>
        <v>0</v>
      </c>
      <c r="F10" s="178">
        <f>IFNA(VLOOKUP(B10,Gear_Data_2[],4, FALSE),"")+IFNA(VLOOKUP(C10,Enchant_Data_2[],4,FALSE),"")</f>
        <v>25</v>
      </c>
      <c r="G10" s="179">
        <f>IFNA(VLOOKUP(B10,Gear_Data_2[],5, FALSE),"")+IFNA(VLOOKUP(C10,Enchant_Data_2[],5,FALSE),"")</f>
        <v>0.01</v>
      </c>
      <c r="H10" s="179">
        <f>IFNA(VLOOKUP(B10,Gear_Data_2[],6, FALSE),"")+IFNA(VLOOKUP(C10,Enchant_Data_2[],6,FALSE),"")</f>
        <v>0</v>
      </c>
      <c r="I10" s="180" t="str">
        <f>IFNA(VLOOKUP(B10,Gear_Data_2[],7, FALSE),"")</f>
        <v/>
      </c>
      <c r="J10" s="181">
        <f>IFNA(VLOOKUP(C10,Enchant_Data_2[],7, FALSE),"")</f>
        <v>0.01</v>
      </c>
      <c r="K10" s="178">
        <f>IFNA(VLOOKUP(B10,Gear_Data_2[],8, FALSE),"")+IFNA(VLOOKUP(C10,Enchant_Data_2[],8,FALSE),"")</f>
        <v>0</v>
      </c>
      <c r="L10" s="182">
        <f>IFNA(VLOOKUP(B10,Gear_Data_2[],9, FALSE),"")+IFNA(VLOOKUP(C10,Enchant_Data_2[],9,FALSE),"")</f>
        <v>0</v>
      </c>
      <c r="M10" s="178">
        <f>IFNA(VLOOKUP(B10,Gear_Data_2[],10, FALSE),"")+IFNA(VLOOKUP(C10,Enchant_Data_2[],10,FALSE),"")</f>
        <v>19</v>
      </c>
      <c r="N10" s="178">
        <f>IFNA(VLOOKUP(B10,Gear_Data_2[],11, FALSE),"")+IFNA(VLOOKUP(C10,Enchant_Data_2[],11,FALSE),"")</f>
        <v>0</v>
      </c>
      <c r="O10" s="178">
        <f>IFNA(VLOOKUP(B10,Gear_Data_2[],12, FALSE),"")+IFNA(VLOOKUP(C10,Enchant_Data_2[],12,FALSE),"")</f>
        <v>0</v>
      </c>
      <c r="P10" s="178">
        <f>IFNA(VLOOKUP(B10,Gear_Data_2[],13, FALSE),"")+IFNA(VLOOKUP(C10,Enchant_Data_2[],13,FALSE),"")</f>
        <v>0</v>
      </c>
      <c r="Q10" s="178">
        <f>IFNA(VLOOKUP(B10,Gear_Data_2[],14, FALSE),"")+IFNA(VLOOKUP(C10,Enchant_Data_2[],14,FALSE),"")</f>
        <v>0</v>
      </c>
      <c r="R10" s="178">
        <f>IFNA(VLOOKUP(B10,Gear_Data_2[],15, FALSE),"")+IFNA(VLOOKUP(C10,Enchant_Data_2[],15,FALSE),"")</f>
        <v>0</v>
      </c>
      <c r="S10" s="178">
        <f>IFNA(VLOOKUP(B10,Gear_Data_2[],16, FALSE),"")+IFNA(VLOOKUP(C10,Enchant_Data_2[],16,FALSE),"")</f>
        <v>0</v>
      </c>
      <c r="T10" s="178">
        <f>IFNA(VLOOKUP(B10,Gear_Data_2[],17, FALSE),"")+IFNA(VLOOKUP(C10,Enchant_Data_2[],17,FALSE),"")</f>
        <v>0</v>
      </c>
      <c r="U10" s="181">
        <f>IFNA(VLOOKUP(B10,Gear_Data_2[],18, FALSE),"")+IFNA(VLOOKUP(C10,Enchant_Data_2[],18,FALSE),"")</f>
        <v>0</v>
      </c>
      <c r="V10" s="181">
        <f>IFNA(VLOOKUP(B10,Gear_Data_2[],19, FALSE),"")+IFNA(VLOOKUP(C10,Enchant_Data_2[],19,FALSE),"")</f>
        <v>0</v>
      </c>
      <c r="W10" s="183">
        <f>(Statweights!$C$22*E10)+(Statweights!$C$23*D10)+(Statweights!$C$24*F10)+(Statweights!$C$25*M10)+(Statweights!$C$26*G10)+(Statweights!$C$27*H10)+(Statweights!$C$28*I10)+(Statweights!$C$29*K10)+(Statweights!$C$30*L10)+(Statweights!$C$31*R10)+(Statweights!$C$32*S10)+(Statweights!$C$33*T10)+(Statweights!$C$34*U10)+(Statweights!$C$35*V10)+(Statweights!$C$36*Q10)+(Statweights!$C$28*J10)</f>
        <v>103.0024424</v>
      </c>
      <c r="X10" s="4"/>
      <c r="Y10" s="175"/>
      <c r="Z10" s="175"/>
      <c r="AA10" s="175"/>
      <c r="AB10" s="175"/>
      <c r="AC10" s="175"/>
    </row>
    <row r="11" ht="22.5" customHeight="1">
      <c r="A11" s="176" t="s">
        <v>340</v>
      </c>
      <c r="B11" s="177" t="s">
        <v>341</v>
      </c>
      <c r="C11" s="177" t="s">
        <v>342</v>
      </c>
      <c r="D11" s="178">
        <f>IFNA(VLOOKUP(B11,Gear_Data_2[],2, FALSE),"")+IFNA(VLOOKUP(C11,Enchant_Data_2[],2,FALSE),"")</f>
        <v>20</v>
      </c>
      <c r="E11" s="178">
        <f>IFNA(VLOOKUP(B11,Gear_Data_2[],3, FALSE),"")+IFNA(VLOOKUP(C11,Enchant_Data_2[],3,FALSE),"")</f>
        <v>0</v>
      </c>
      <c r="F11" s="178">
        <f>IFNA(VLOOKUP(B11,Gear_Data_2[],4, FALSE),"")+IFNA(VLOOKUP(C11,Enchant_Data_2[],4,FALSE),"")</f>
        <v>29</v>
      </c>
      <c r="G11" s="179">
        <f>IFNA(VLOOKUP(B11,Gear_Data_2[],5, FALSE),"")+IFNA(VLOOKUP(C11,Enchant_Data_2[],5,FALSE),"")</f>
        <v>0</v>
      </c>
      <c r="H11" s="179">
        <f>IFNA(VLOOKUP(B11,Gear_Data_2[],6, FALSE),"")+IFNA(VLOOKUP(C11,Enchant_Data_2[],6,FALSE),"")</f>
        <v>0.01</v>
      </c>
      <c r="I11" s="180" t="str">
        <f>IFNA(VLOOKUP(B11,Gear_Data_2[],7, FALSE),"")</f>
        <v/>
      </c>
      <c r="J11" s="181" t="str">
        <f>IFNA(VLOOKUP(C11,Enchant_Data_2[],7, FALSE),"")</f>
        <v/>
      </c>
      <c r="K11" s="178">
        <f>IFNA(VLOOKUP(B11,Gear_Data_2[],8, FALSE),"")+IFNA(VLOOKUP(C11,Enchant_Data_2[],8,FALSE),"")</f>
        <v>0</v>
      </c>
      <c r="L11" s="182">
        <f>IFNA(VLOOKUP(B11,Gear_Data_2[],9, FALSE),"")+IFNA(VLOOKUP(C11,Enchant_Data_2[],9,FALSE),"")</f>
        <v>0</v>
      </c>
      <c r="M11" s="178">
        <f>IFNA(VLOOKUP(B11,Gear_Data_2[],10, FALSE),"")+IFNA(VLOOKUP(C11,Enchant_Data_2[],10,FALSE),"")</f>
        <v>12</v>
      </c>
      <c r="N11" s="178">
        <f>IFNA(VLOOKUP(B11,Gear_Data_2[],11, FALSE),"")+IFNA(VLOOKUP(C11,Enchant_Data_2[],11,FALSE),"")</f>
        <v>0</v>
      </c>
      <c r="O11" s="178">
        <f>IFNA(VLOOKUP(B11,Gear_Data_2[],12, FALSE),"")+IFNA(VLOOKUP(C11,Enchant_Data_2[],12,FALSE),"")</f>
        <v>0</v>
      </c>
      <c r="P11" s="178">
        <f>IFNA(VLOOKUP(B11,Gear_Data_2[],13, FALSE),"")+IFNA(VLOOKUP(C11,Enchant_Data_2[],13,FALSE),"")</f>
        <v>0</v>
      </c>
      <c r="Q11" s="178">
        <f>IFNA(VLOOKUP(B11,Gear_Data_2[],14, FALSE),"")+IFNA(VLOOKUP(C11,Enchant_Data_2[],14,FALSE),"")</f>
        <v>0</v>
      </c>
      <c r="R11" s="178">
        <f>IFNA(VLOOKUP(B11,Gear_Data_2[],15, FALSE),"")+IFNA(VLOOKUP(C11,Enchant_Data_2[],15,FALSE),"")</f>
        <v>0</v>
      </c>
      <c r="S11" s="178">
        <f>IFNA(VLOOKUP(B11,Gear_Data_2[],16, FALSE),"")+IFNA(VLOOKUP(C11,Enchant_Data_2[],16,FALSE),"")</f>
        <v>0</v>
      </c>
      <c r="T11" s="178">
        <f>IFNA(VLOOKUP(B11,Gear_Data_2[],17, FALSE),"")+IFNA(VLOOKUP(C11,Enchant_Data_2[],17,FALSE),"")</f>
        <v>0</v>
      </c>
      <c r="U11" s="181">
        <f>IFNA(VLOOKUP(B11,Gear_Data_2[],18, FALSE),"")+IFNA(VLOOKUP(C11,Enchant_Data_2[],18,FALSE),"")</f>
        <v>0</v>
      </c>
      <c r="V11" s="181">
        <f>IFNA(VLOOKUP(B11,Gear_Data_2[],19, FALSE),"")+IFNA(VLOOKUP(C11,Enchant_Data_2[],19,FALSE),"")</f>
        <v>0</v>
      </c>
      <c r="W11" s="183">
        <f>(Statweights!$C$22*E11)+(Statweights!$C$23*D11)+(Statweights!$C$24*F11)+(Statweights!$C$25*M11)+(Statweights!$C$26*G11)+(Statweights!$C$27*H11)+(Statweights!$C$28*I11)+(Statweights!$C$29*K11)+(Statweights!$C$30*L11)+(Statweights!$C$31*R11)+(Statweights!$C$32*S11)+(Statweights!$C$33*T11)+(Statweights!$C$34*U11)+(Statweights!$C$35*V11)+(Statweights!$C$36*Q11)+(Statweights!$C$28*J11)</f>
        <v>83.17578779</v>
      </c>
      <c r="X11" s="4"/>
      <c r="Y11" s="175"/>
      <c r="Z11" s="175"/>
      <c r="AA11" s="175"/>
      <c r="AB11" s="175"/>
      <c r="AC11" s="175"/>
    </row>
    <row r="12" ht="22.5" customHeight="1">
      <c r="A12" s="176" t="s">
        <v>343</v>
      </c>
      <c r="B12" s="177" t="s">
        <v>344</v>
      </c>
      <c r="C12" s="177" t="s">
        <v>317</v>
      </c>
      <c r="D12" s="178">
        <f>IFNA(VLOOKUP(B12,Gear_Data_2[],2, FALSE),"")+IFNA(VLOOKUP(C12,Enchant_Data_2[],2,FALSE),"")</f>
        <v>5</v>
      </c>
      <c r="E12" s="178">
        <f>IFNA(VLOOKUP(B12,Gear_Data_2[],3, FALSE),"")+IFNA(VLOOKUP(C12,Enchant_Data_2[],3,FALSE),"")</f>
        <v>30</v>
      </c>
      <c r="F12" s="178">
        <f>IFNA(VLOOKUP(B12,Gear_Data_2[],4, FALSE),"")+IFNA(VLOOKUP(C12,Enchant_Data_2[],4,FALSE),"")</f>
        <v>6</v>
      </c>
      <c r="G12" s="179">
        <f>IFNA(VLOOKUP(B12,Gear_Data_2[],5, FALSE),"")+IFNA(VLOOKUP(C12,Enchant_Data_2[],5,FALSE),"")</f>
        <v>0.01</v>
      </c>
      <c r="H12" s="179">
        <f>IFNA(VLOOKUP(B12,Gear_Data_2[],6, FALSE),"")+IFNA(VLOOKUP(C12,Enchant_Data_2[],6,FALSE),"")</f>
        <v>0</v>
      </c>
      <c r="I12" s="180" t="str">
        <f>IFNA(VLOOKUP(B12,Gear_Data_2[],7, FALSE),"")</f>
        <v/>
      </c>
      <c r="J12" s="181" t="str">
        <f>IFNA(VLOOKUP(C12,Enchant_Data_2[],7, FALSE),"")</f>
        <v/>
      </c>
      <c r="K12" s="178">
        <f>IFNA(VLOOKUP(B12,Gear_Data_2[],8, FALSE),"")+IFNA(VLOOKUP(C12,Enchant_Data_2[],8,FALSE),"")</f>
        <v>0</v>
      </c>
      <c r="L12" s="182">
        <f>IFNA(VLOOKUP(B12,Gear_Data_2[],9, FALSE),"")+IFNA(VLOOKUP(C12,Enchant_Data_2[],9,FALSE),"")</f>
        <v>0</v>
      </c>
      <c r="M12" s="178">
        <f>IFNA(VLOOKUP(B12,Gear_Data_2[],10, FALSE),"")+IFNA(VLOOKUP(C12,Enchant_Data_2[],10,FALSE),"")</f>
        <v>0</v>
      </c>
      <c r="N12" s="178">
        <f>IFNA(VLOOKUP(B12,Gear_Data_2[],11, FALSE),"")+IFNA(VLOOKUP(C12,Enchant_Data_2[],11,FALSE),"")</f>
        <v>0</v>
      </c>
      <c r="O12" s="178">
        <f>IFNA(VLOOKUP(B12,Gear_Data_2[],12, FALSE),"")+IFNA(VLOOKUP(C12,Enchant_Data_2[],12,FALSE),"")</f>
        <v>0</v>
      </c>
      <c r="P12" s="178">
        <f>IFNA(VLOOKUP(B12,Gear_Data_2[],13, FALSE),"")+IFNA(VLOOKUP(C12,Enchant_Data_2[],13,FALSE),"")</f>
        <v>0</v>
      </c>
      <c r="Q12" s="178">
        <f>IFNA(VLOOKUP(B12,Gear_Data_2[],14, FALSE),"")+IFNA(VLOOKUP(C12,Enchant_Data_2[],14,FALSE),"")</f>
        <v>0</v>
      </c>
      <c r="R12" s="178">
        <f>IFNA(VLOOKUP(B12,Gear_Data_2[],15, FALSE),"")+IFNA(VLOOKUP(C12,Enchant_Data_2[],15,FALSE),"")</f>
        <v>0</v>
      </c>
      <c r="S12" s="178">
        <f>IFNA(VLOOKUP(B12,Gear_Data_2[],16, FALSE),"")+IFNA(VLOOKUP(C12,Enchant_Data_2[],16,FALSE),"")</f>
        <v>0</v>
      </c>
      <c r="T12" s="178">
        <f>IFNA(VLOOKUP(B12,Gear_Data_2[],17, FALSE),"")+IFNA(VLOOKUP(C12,Enchant_Data_2[],17,FALSE),"")</f>
        <v>0</v>
      </c>
      <c r="U12" s="181">
        <f>IFNA(VLOOKUP(B12,Gear_Data_2[],18, FALSE),"")+IFNA(VLOOKUP(C12,Enchant_Data_2[],18,FALSE),"")</f>
        <v>0</v>
      </c>
      <c r="V12" s="181">
        <f>IFNA(VLOOKUP(B12,Gear_Data_2[],19, FALSE),"")+IFNA(VLOOKUP(C12,Enchant_Data_2[],19,FALSE),"")</f>
        <v>0</v>
      </c>
      <c r="W12" s="183">
        <f>(Statweights!$C$22*E12)+(Statweights!$C$23*D12)+(Statweights!$C$24*F12)+(Statweights!$C$25*M12)+(Statweights!$C$26*G12)+(Statweights!$C$27*H12)+(Statweights!$C$28*I12)+(Statweights!$C$29*K12)+(Statweights!$C$30*L12)+(Statweights!$C$31*R12)+(Statweights!$C$32*S12)+(Statweights!$C$33*T12)+(Statweights!$C$34*U12)+(Statweights!$C$35*V12)+(Statweights!$C$36*Q12)+(Statweights!$C$28*J12)</f>
        <v>49.57182495</v>
      </c>
      <c r="X12" s="4"/>
      <c r="Y12" s="175"/>
      <c r="Z12" s="175"/>
      <c r="AA12" s="175"/>
      <c r="AB12" s="175"/>
      <c r="AC12" s="175"/>
    </row>
    <row r="13" ht="22.5" customHeight="1">
      <c r="A13" s="176" t="s">
        <v>345</v>
      </c>
      <c r="B13" s="177" t="s">
        <v>346</v>
      </c>
      <c r="C13" s="177" t="s">
        <v>317</v>
      </c>
      <c r="D13" s="178">
        <f>IFNA(VLOOKUP(B13,Gear_Data_2[],2, FALSE),"")+IFNA(VLOOKUP(C13,Enchant_Data_2[],2,FALSE),"")</f>
        <v>0</v>
      </c>
      <c r="E13" s="178">
        <f>IFNA(VLOOKUP(B13,Gear_Data_2[],3, FALSE),"")+IFNA(VLOOKUP(C13,Enchant_Data_2[],3,FALSE),"")</f>
        <v>48</v>
      </c>
      <c r="F13" s="178">
        <f>IFNA(VLOOKUP(B13,Gear_Data_2[],4, FALSE),"")+IFNA(VLOOKUP(C13,Enchant_Data_2[],4,FALSE),"")</f>
        <v>6</v>
      </c>
      <c r="G13" s="179">
        <f>IFNA(VLOOKUP(B13,Gear_Data_2[],5, FALSE),"")+IFNA(VLOOKUP(C13,Enchant_Data_2[],5,FALSE),"")</f>
        <v>0</v>
      </c>
      <c r="H13" s="179">
        <f>IFNA(VLOOKUP(B13,Gear_Data_2[],6, FALSE),"")+IFNA(VLOOKUP(C13,Enchant_Data_2[],6,FALSE),"")</f>
        <v>0.01</v>
      </c>
      <c r="I13" s="180" t="str">
        <f>IFNA(VLOOKUP(B13,Gear_Data_2[],7, FALSE),"")</f>
        <v/>
      </c>
      <c r="J13" s="181" t="str">
        <f>IFNA(VLOOKUP(C13,Enchant_Data_2[],7, FALSE),"")</f>
        <v/>
      </c>
      <c r="K13" s="178">
        <f>IFNA(VLOOKUP(B13,Gear_Data_2[],8, FALSE),"")+IFNA(VLOOKUP(C13,Enchant_Data_2[],8,FALSE),"")</f>
        <v>0</v>
      </c>
      <c r="L13" s="182">
        <f>IFNA(VLOOKUP(B13,Gear_Data_2[],9, FALSE),"")+IFNA(VLOOKUP(C13,Enchant_Data_2[],9,FALSE),"")</f>
        <v>0</v>
      </c>
      <c r="M13" s="178">
        <f>IFNA(VLOOKUP(B13,Gear_Data_2[],10, FALSE),"")+IFNA(VLOOKUP(C13,Enchant_Data_2[],10,FALSE),"")</f>
        <v>0</v>
      </c>
      <c r="N13" s="178">
        <f>IFNA(VLOOKUP(B13,Gear_Data_2[],11, FALSE),"")+IFNA(VLOOKUP(C13,Enchant_Data_2[],11,FALSE),"")</f>
        <v>0</v>
      </c>
      <c r="O13" s="178">
        <f>IFNA(VLOOKUP(B13,Gear_Data_2[],12, FALSE),"")+IFNA(VLOOKUP(C13,Enchant_Data_2[],12,FALSE),"")</f>
        <v>0</v>
      </c>
      <c r="P13" s="178">
        <f>IFNA(VLOOKUP(B13,Gear_Data_2[],13, FALSE),"")+IFNA(VLOOKUP(C13,Enchant_Data_2[],13,FALSE),"")</f>
        <v>0</v>
      </c>
      <c r="Q13" s="178">
        <f>IFNA(VLOOKUP(B13,Gear_Data_2[],14, FALSE),"")+IFNA(VLOOKUP(C13,Enchant_Data_2[],14,FALSE),"")</f>
        <v>0</v>
      </c>
      <c r="R13" s="178">
        <f>IFNA(VLOOKUP(B13,Gear_Data_2[],15, FALSE),"")+IFNA(VLOOKUP(C13,Enchant_Data_2[],15,FALSE),"")</f>
        <v>0</v>
      </c>
      <c r="S13" s="178">
        <f>IFNA(VLOOKUP(B13,Gear_Data_2[],16, FALSE),"")+IFNA(VLOOKUP(C13,Enchant_Data_2[],16,FALSE),"")</f>
        <v>0</v>
      </c>
      <c r="T13" s="178">
        <f>IFNA(VLOOKUP(B13,Gear_Data_2[],17, FALSE),"")+IFNA(VLOOKUP(C13,Enchant_Data_2[],17,FALSE),"")</f>
        <v>0</v>
      </c>
      <c r="U13" s="181">
        <f>IFNA(VLOOKUP(B13,Gear_Data_2[],18, FALSE),"")+IFNA(VLOOKUP(C13,Enchant_Data_2[],18,FALSE),"")</f>
        <v>0</v>
      </c>
      <c r="V13" s="181">
        <f>IFNA(VLOOKUP(B13,Gear_Data_2[],19, FALSE),"")+IFNA(VLOOKUP(C13,Enchant_Data_2[],19,FALSE),"")</f>
        <v>0</v>
      </c>
      <c r="W13" s="183">
        <f>(Statweights!$C$22*E13)+(Statweights!$C$23*D13)+(Statweights!$C$24*F13)+(Statweights!$C$25*M13)+(Statweights!$C$26*G13)+(Statweights!$C$27*H13)+(Statweights!$C$28*I13)+(Statweights!$C$29*K13)+(Statweights!$C$30*L13)+(Statweights!$C$31*R13)+(Statweights!$C$32*S13)+(Statweights!$C$33*T13)+(Statweights!$C$34*U13)+(Statweights!$C$35*V13)+(Statweights!$C$36*Q13)+(Statweights!$C$28*J13)</f>
        <v>55.07619722</v>
      </c>
      <c r="X13" s="4"/>
      <c r="Y13" s="175"/>
      <c r="Z13" s="175"/>
      <c r="AA13" s="175"/>
      <c r="AB13" s="175"/>
      <c r="AC13" s="175"/>
    </row>
    <row r="14" ht="22.5" customHeight="1">
      <c r="A14" s="176" t="s">
        <v>347</v>
      </c>
      <c r="B14" s="177" t="s">
        <v>348</v>
      </c>
      <c r="C14" s="176"/>
      <c r="D14" s="178">
        <f>IFNA(VLOOKUP(B14,Gear_Data_2[],2, FALSE),"")+IFNA(VLOOKUP(C14,Enchant_Data_2[],2,FALSE),"")</f>
        <v>0</v>
      </c>
      <c r="E14" s="178">
        <f>IFNA(VLOOKUP(B14,Gear_Data_2[],3, FALSE),"")+IFNA(VLOOKUP(C14,Enchant_Data_2[],3,FALSE),"")</f>
        <v>0</v>
      </c>
      <c r="F14" s="178">
        <f>IFNA(VLOOKUP(B14,Gear_Data_2[],4, FALSE),"")+IFNA(VLOOKUP(C14,Enchant_Data_2[],4,FALSE),"")</f>
        <v>0</v>
      </c>
      <c r="G14" s="179">
        <f>IFNA(VLOOKUP(B14,Gear_Data_2[],5, FALSE),"")+IFNA(VLOOKUP(C14,Enchant_Data_2[],5,FALSE),"")</f>
        <v>0.02</v>
      </c>
      <c r="H14" s="179">
        <f>IFNA(VLOOKUP(B14,Gear_Data_2[],6, FALSE),"")+IFNA(VLOOKUP(C14,Enchant_Data_2[],6,FALSE),"")</f>
        <v>0</v>
      </c>
      <c r="I14" s="180" t="str">
        <f>IFNA(VLOOKUP(B14,Gear_Data_2[],7, FALSE),"")</f>
        <v/>
      </c>
      <c r="J14" s="181" t="str">
        <f>IFNA(VLOOKUP(C14,Enchant_Data_2[],7, FALSE),"")</f>
        <v/>
      </c>
      <c r="K14" s="178">
        <f>IFNA(VLOOKUP(B14,Gear_Data_2[],8, FALSE),"")+IFNA(VLOOKUP(C14,Enchant_Data_2[],8,FALSE),"")</f>
        <v>0</v>
      </c>
      <c r="L14" s="182">
        <f>IFNA(VLOOKUP(B14,Gear_Data_2[],9, FALSE),"")+IFNA(VLOOKUP(C14,Enchant_Data_2[],9,FALSE),"")</f>
        <v>0</v>
      </c>
      <c r="M14" s="178">
        <f>IFNA(VLOOKUP(B14,Gear_Data_2[],10, FALSE),"")+IFNA(VLOOKUP(C14,Enchant_Data_2[],10,FALSE),"")</f>
        <v>0</v>
      </c>
      <c r="N14" s="178">
        <f>IFNA(VLOOKUP(B14,Gear_Data_2[],11, FALSE),"")+IFNA(VLOOKUP(C14,Enchant_Data_2[],11,FALSE),"")</f>
        <v>0</v>
      </c>
      <c r="O14" s="178">
        <f>IFNA(VLOOKUP(B14,Gear_Data_2[],12, FALSE),"")+IFNA(VLOOKUP(C14,Enchant_Data_2[],12,FALSE),"")</f>
        <v>0</v>
      </c>
      <c r="P14" s="178">
        <f>IFNA(VLOOKUP(B14,Gear_Data_2[],13, FALSE),"")+IFNA(VLOOKUP(C14,Enchant_Data_2[],13,FALSE),"")</f>
        <v>0</v>
      </c>
      <c r="Q14" s="178">
        <f>IFNA(VLOOKUP(B14,Gear_Data_2[],14, FALSE),"")+IFNA(VLOOKUP(C14,Enchant_Data_2[],14,FALSE),"")</f>
        <v>0</v>
      </c>
      <c r="R14" s="178">
        <f>IFNA(VLOOKUP(B14,Gear_Data_2[],15, FALSE),"")+IFNA(VLOOKUP(C14,Enchant_Data_2[],15,FALSE),"")</f>
        <v>0</v>
      </c>
      <c r="S14" s="178">
        <f>IFNA(VLOOKUP(B14,Gear_Data_2[],16, FALSE),"")+IFNA(VLOOKUP(C14,Enchant_Data_2[],16,FALSE),"")</f>
        <v>0</v>
      </c>
      <c r="T14" s="178">
        <f>IFNA(VLOOKUP(B14,Gear_Data_2[],17, FALSE),"")+IFNA(VLOOKUP(C14,Enchant_Data_2[],17,FALSE),"")</f>
        <v>0</v>
      </c>
      <c r="U14" s="181">
        <f>IFNA(VLOOKUP(B14,Gear_Data_2[],18, FALSE),"")+IFNA(VLOOKUP(C14,Enchant_Data_2[],18,FALSE),"")</f>
        <v>0</v>
      </c>
      <c r="V14" s="181">
        <f>IFNA(VLOOKUP(B14,Gear_Data_2[],19, FALSE),"")+IFNA(VLOOKUP(C14,Enchant_Data_2[],19,FALSE),"")</f>
        <v>0</v>
      </c>
      <c r="W14" s="183">
        <f>(Statweights!$C$22*E14)+(Statweights!$C$23*D14)+(Statweights!$C$24*F14)+(Statweights!$C$25*M14)+(Statweights!$C$26*G14)+(Statweights!$C$27*H14)+(Statweights!$C$28*I14)+(Statweights!$C$29*K14)+(Statweights!$C$30*L14)+(Statweights!$C$31*R14)+(Statweights!$C$32*S14)+(Statweights!$C$33*T14)+(Statweights!$C$34*U14)+(Statweights!$C$35*V14)+(Statweights!$C$36*Q14)+(Statweights!$C$28*J14)</f>
        <v>0.2902576831</v>
      </c>
      <c r="X14" s="4"/>
      <c r="Y14" s="175"/>
      <c r="Z14" s="175"/>
      <c r="AA14" s="175"/>
      <c r="AB14" s="175"/>
      <c r="AC14" s="175"/>
    </row>
    <row r="15" ht="22.5" customHeight="1">
      <c r="A15" s="176" t="s">
        <v>349</v>
      </c>
      <c r="B15" s="177" t="s">
        <v>350</v>
      </c>
      <c r="C15" s="176"/>
      <c r="D15" s="178">
        <f>IFNA(VLOOKUP(B15,Gear_Data_2[],2, FALSE),"")+IFNA(VLOOKUP(C15,Enchant_Data_2[],2,FALSE),"")</f>
        <v>0</v>
      </c>
      <c r="E15" s="178">
        <f>IFNA(VLOOKUP(B15,Gear_Data_2[],3, FALSE),"")+IFNA(VLOOKUP(C15,Enchant_Data_2[],3,FALSE),"")</f>
        <v>0</v>
      </c>
      <c r="F15" s="178">
        <f>IFNA(VLOOKUP(B15,Gear_Data_2[],4, FALSE),"")+IFNA(VLOOKUP(C15,Enchant_Data_2[],4,FALSE),"")</f>
        <v>0</v>
      </c>
      <c r="G15" s="179">
        <f>IFNA(VLOOKUP(B15,Gear_Data_2[],5, FALSE),"")+IFNA(VLOOKUP(C15,Enchant_Data_2[],5,FALSE),"")</f>
        <v>0.02</v>
      </c>
      <c r="H15" s="179">
        <f>IFNA(VLOOKUP(B15,Gear_Data_2[],6, FALSE),"")+IFNA(VLOOKUP(C15,Enchant_Data_2[],6,FALSE),"")</f>
        <v>0</v>
      </c>
      <c r="I15" s="180">
        <f>IFNA(VLOOKUP(B15,Gear_Data_2[],7, FALSE),"")</f>
        <v>0.02</v>
      </c>
      <c r="J15" s="181" t="str">
        <f>IFNA(VLOOKUP(C15,Enchant_Data_2[],7, FALSE),"")</f>
        <v/>
      </c>
      <c r="K15" s="178">
        <f>IFNA(VLOOKUP(B15,Gear_Data_2[],8, FALSE),"")+IFNA(VLOOKUP(C15,Enchant_Data_2[],8,FALSE),"")</f>
        <v>0</v>
      </c>
      <c r="L15" s="182">
        <f>IFNA(VLOOKUP(B15,Gear_Data_2[],9, FALSE),"")+IFNA(VLOOKUP(C15,Enchant_Data_2[],9,FALSE),"")</f>
        <v>0</v>
      </c>
      <c r="M15" s="178">
        <f>IFNA(VLOOKUP(B15,Gear_Data_2[],10, FALSE),"")+IFNA(VLOOKUP(C15,Enchant_Data_2[],10,FALSE),"")</f>
        <v>0</v>
      </c>
      <c r="N15" s="178">
        <f>IFNA(VLOOKUP(B15,Gear_Data_2[],11, FALSE),"")+IFNA(VLOOKUP(C15,Enchant_Data_2[],11,FALSE),"")</f>
        <v>0</v>
      </c>
      <c r="O15" s="178">
        <f>IFNA(VLOOKUP(B15,Gear_Data_2[],12, FALSE),"")+IFNA(VLOOKUP(C15,Enchant_Data_2[],12,FALSE),"")</f>
        <v>0</v>
      </c>
      <c r="P15" s="178">
        <f>IFNA(VLOOKUP(B15,Gear_Data_2[],13, FALSE),"")+IFNA(VLOOKUP(C15,Enchant_Data_2[],13,FALSE),"")</f>
        <v>0</v>
      </c>
      <c r="Q15" s="178">
        <f>IFNA(VLOOKUP(B15,Gear_Data_2[],14, FALSE),"")+IFNA(VLOOKUP(C15,Enchant_Data_2[],14,FALSE),"")</f>
        <v>0</v>
      </c>
      <c r="R15" s="178">
        <f>IFNA(VLOOKUP(B15,Gear_Data_2[],15, FALSE),"")+IFNA(VLOOKUP(C15,Enchant_Data_2[],15,FALSE),"")</f>
        <v>0</v>
      </c>
      <c r="S15" s="178">
        <f>IFNA(VLOOKUP(B15,Gear_Data_2[],16, FALSE),"")+IFNA(VLOOKUP(C15,Enchant_Data_2[],16,FALSE),"")</f>
        <v>0</v>
      </c>
      <c r="T15" s="178">
        <f>IFNA(VLOOKUP(B15,Gear_Data_2[],17, FALSE),"")+IFNA(VLOOKUP(C15,Enchant_Data_2[],17,FALSE),"")</f>
        <v>0</v>
      </c>
      <c r="U15" s="181">
        <f>IFNA(VLOOKUP(B15,Gear_Data_2[],18, FALSE),"")+IFNA(VLOOKUP(C15,Enchant_Data_2[],18,FALSE),"")</f>
        <v>0</v>
      </c>
      <c r="V15" s="181">
        <f>IFNA(VLOOKUP(B15,Gear_Data_2[],19, FALSE),"")+IFNA(VLOOKUP(C15,Enchant_Data_2[],19,FALSE),"")</f>
        <v>0</v>
      </c>
      <c r="W15" s="183">
        <f>(Statweights!$C$22*E15)+(Statweights!$C$23*D15)+(Statweights!$C$24*F15)+(Statweights!$C$25*M15)+(Statweights!$C$26*G15)+(Statweights!$C$27*H15)+(Statweights!$C$28*I15)+(Statweights!$C$29*K15)+(Statweights!$C$30*L15)+(Statweights!$C$31*R15)+(Statweights!$C$32*S15)+(Statweights!$C$33*T15)+(Statweights!$C$34*U15)+(Statweights!$C$35*V15)+(Statweights!$C$36*Q15)+(Statweights!$C$28*J15)</f>
        <v>0.4953403872</v>
      </c>
      <c r="X15" s="4"/>
      <c r="Y15" s="175"/>
      <c r="Z15" s="175"/>
      <c r="AA15" s="175"/>
      <c r="AB15" s="175"/>
      <c r="AC15" s="175"/>
    </row>
    <row r="16" ht="22.5" customHeight="1">
      <c r="A16" s="176" t="s">
        <v>351</v>
      </c>
      <c r="B16" s="177" t="s">
        <v>352</v>
      </c>
      <c r="C16" s="184" t="s">
        <v>353</v>
      </c>
      <c r="D16" s="178">
        <f>IFNA(VLOOKUP(B16,Gear_Data_2[],2, FALSE),"")+IFNA(VLOOKUP(C16,Enchant_Data_2[],2,FALSE),"")</f>
        <v>43</v>
      </c>
      <c r="E16" s="178">
        <f>IFNA(VLOOKUP(B16,Gear_Data_2[],3, FALSE),"")+IFNA(VLOOKUP(C16,Enchant_Data_2[],3,FALSE),"")</f>
        <v>0</v>
      </c>
      <c r="F16" s="178">
        <f>IFNA(VLOOKUP(B16,Gear_Data_2[],4, FALSE),"")+IFNA(VLOOKUP(C16,Enchant_Data_2[],4,FALSE),"")</f>
        <v>0</v>
      </c>
      <c r="G16" s="179">
        <f>IFNA(VLOOKUP(B16,Gear_Data_2[],5, FALSE),"")+IFNA(VLOOKUP(C16,Enchant_Data_2[],5,FALSE),"")</f>
        <v>0.02</v>
      </c>
      <c r="H16" s="179">
        <f>IFNA(VLOOKUP(B16,Gear_Data_2[],6, FALSE),"")+IFNA(VLOOKUP(C16,Enchant_Data_2[],6,FALSE),"")</f>
        <v>0</v>
      </c>
      <c r="I16" s="180" t="str">
        <f>IFNA(VLOOKUP(B16,Gear_Data_2[],7, FALSE),"")</f>
        <v/>
      </c>
      <c r="J16" s="181" t="str">
        <f>IFNA(VLOOKUP(C16,Enchant_Data_2[],7, FALSE),"")</f>
        <v/>
      </c>
      <c r="K16" s="178">
        <f>IFNA(VLOOKUP(B16,Gear_Data_2[],8, FALSE),"")+IFNA(VLOOKUP(C16,Enchant_Data_2[],8,FALSE),"")</f>
        <v>0</v>
      </c>
      <c r="L16" s="182">
        <f>IFNA(VLOOKUP(B16,Gear_Data_2[],9, FALSE),"")+IFNA(VLOOKUP(C16,Enchant_Data_2[],9,FALSE),"")</f>
        <v>0</v>
      </c>
      <c r="M16" s="178">
        <f>IFNA(VLOOKUP(B16,Gear_Data_2[],10, FALSE),"")+IFNA(VLOOKUP(C16,Enchant_Data_2[],10,FALSE),"")</f>
        <v>0</v>
      </c>
      <c r="N16" s="178">
        <f>IFNA(VLOOKUP(B16,Gear_Data_2[],11, FALSE),"")+IFNA(VLOOKUP(C16,Enchant_Data_2[],11,FALSE),"")</f>
        <v>0</v>
      </c>
      <c r="O16" s="178">
        <f>IFNA(VLOOKUP(B16,Gear_Data_2[],12, FALSE),"")+IFNA(VLOOKUP(C16,Enchant_Data_2[],12,FALSE),"")</f>
        <v>0</v>
      </c>
      <c r="P16" s="178">
        <f>IFNA(VLOOKUP(B16,Gear_Data_2[],13, FALSE),"")+IFNA(VLOOKUP(C16,Enchant_Data_2[],13,FALSE),"")</f>
        <v>0</v>
      </c>
      <c r="Q16" s="178">
        <f>IFNA(VLOOKUP(B16,Gear_Data_2[],14, FALSE),"")+IFNA(VLOOKUP(C16,Enchant_Data_2[],14,FALSE),"")</f>
        <v>0</v>
      </c>
      <c r="R16" s="178">
        <f>IFNA(VLOOKUP(B16,Gear_Data_2[],15, FALSE),"")+IFNA(VLOOKUP(C16,Enchant_Data_2[],15,FALSE),"")</f>
        <v>0</v>
      </c>
      <c r="S16" s="178">
        <f>IFNA(VLOOKUP(B16,Gear_Data_2[],16, FALSE),"")+IFNA(VLOOKUP(C16,Enchant_Data_2[],16,FALSE),"")</f>
        <v>0</v>
      </c>
      <c r="T16" s="178">
        <f>IFNA(VLOOKUP(B16,Gear_Data_2[],17, FALSE),"")+IFNA(VLOOKUP(C16,Enchant_Data_2[],17,FALSE),"")</f>
        <v>0</v>
      </c>
      <c r="U16" s="181">
        <f>IFNA(VLOOKUP(B16,Gear_Data_2[],18, FALSE),"")+IFNA(VLOOKUP(C16,Enchant_Data_2[],18,FALSE),"")</f>
        <v>0</v>
      </c>
      <c r="V16" s="181">
        <f>IFNA(VLOOKUP(B16,Gear_Data_2[],19, FALSE),"")+IFNA(VLOOKUP(C16,Enchant_Data_2[],19,FALSE),"")</f>
        <v>0</v>
      </c>
      <c r="W16" s="183">
        <f>(Statweights!$C$22*E16)+(Statweights!$C$23*D16)+(Statweights!$C$24*F16)+(Statweights!$C$25*M16)+(Statweights!$C$26*G16)+(Statweights!$C$27*H16)+(Statweights!$C$28*I16)+(Statweights!$C$29*K16)+(Statweights!$C$30*L16)+(Statweights!$C$31*R16)+(Statweights!$C$32*S16)+(Statweights!$C$33*T16)+(Statweights!$C$34*U16)+(Statweights!$C$35*V16)+(Statweights!$C$36*Q16)+(Statweights!$C$28*J16)</f>
        <v>105.6552994</v>
      </c>
      <c r="X16" s="4"/>
      <c r="Y16" s="175"/>
      <c r="Z16" s="175"/>
      <c r="AA16" s="175"/>
      <c r="AB16" s="175"/>
      <c r="AC16" s="175"/>
    </row>
    <row r="17" ht="22.5" customHeight="1">
      <c r="A17" s="176" t="s">
        <v>354</v>
      </c>
      <c r="B17" s="176"/>
      <c r="C17" s="176"/>
      <c r="D17" s="178">
        <f>SUM(Table4[Strength]
)</f>
        <v>236</v>
      </c>
      <c r="E17" s="178">
        <f>SUM(Table4[AP]
)</f>
        <v>198</v>
      </c>
      <c r="F17" s="178">
        <f>SUM(Table4[Agility]
)</f>
        <v>195</v>
      </c>
      <c r="G17" s="179">
        <f>SUM(Table4[Crit ]
)</f>
        <v>0.16</v>
      </c>
      <c r="H17" s="179">
        <f>SUM(Table4[Hit ]
)</f>
        <v>0.04</v>
      </c>
      <c r="I17" s="185">
        <f>((1+I2)*(1+I3)*(1+I4)*(1+I5)*(1+I6)*(1+I7)*(1+I8)*(1+I9)*(1+I10)*(1+I11)*(1+I12)*(1+I13)*(1+I14)*(1+I15)*(1+I16)*(1+J2)*(1+J3)*(1+J4)*(1+J5)*(1+J6)*(1+J7)*(1+J8)*(1+J9)*(1+J10)*(1+J11)*(1+J12)*(1+J13)*(1+J14)*(1+J15)*(1+J16)-1)</f>
        <v>0.082644412</v>
      </c>
      <c r="J17" s="176"/>
      <c r="K17" s="178">
        <f>SUM(Table4[Weapon Skill]
)</f>
        <v>7</v>
      </c>
      <c r="L17" s="182">
        <f>SUM(Table4[Armor Pen]
)</f>
        <v>0</v>
      </c>
      <c r="M17" s="178">
        <f>SUM(Table4[Int]
)</f>
        <v>106</v>
      </c>
      <c r="N17" s="178">
        <f>SUM(Table4[MP5]
)</f>
        <v>0</v>
      </c>
      <c r="O17" s="178">
        <f>SUM(Table4[Spirit]
)</f>
        <v>4</v>
      </c>
      <c r="P17" s="178">
        <f>SUM(Table4[Meditation]
)</f>
        <v>0</v>
      </c>
      <c r="Q17" s="178">
        <f>SUM(Table4[Spell Pen]
)</f>
        <v>0</v>
      </c>
      <c r="R17" s="178">
        <f>SUM(Table4[Spellpower]
)</f>
        <v>0</v>
      </c>
      <c r="S17" s="178">
        <f>SUM(Table4[Nature Spellpower]
)</f>
        <v>0</v>
      </c>
      <c r="T17" s="178">
        <f>SUM(Table4[Fire Spellpower]
)</f>
        <v>0</v>
      </c>
      <c r="U17" s="181">
        <f>SUM(Table4[Spell Crit]
)</f>
        <v>0</v>
      </c>
      <c r="V17" s="185">
        <f>SUM(Table4[Spell Hit]
)</f>
        <v>0</v>
      </c>
      <c r="W17" s="183">
        <f>SUM(Table4[Total Weight]
)</f>
        <v>1073.976232</v>
      </c>
      <c r="X17" s="4"/>
      <c r="Y17" s="175"/>
      <c r="Z17" s="175"/>
      <c r="AA17" s="175"/>
      <c r="AB17" s="175"/>
      <c r="AC17" s="175"/>
    </row>
  </sheetData>
  <dataValidations>
    <dataValidation type="list" allowBlank="1" showErrorMessage="1" sqref="B2">
      <formula1>'Gear Data'!$A$3:$A$16</formula1>
    </dataValidation>
    <dataValidation type="list" allowBlank="1" showErrorMessage="1" sqref="B10">
      <formula1>'Gear Data'!$A$121:$A$135</formula1>
    </dataValidation>
    <dataValidation type="list" allowBlank="1" showErrorMessage="1" sqref="B4">
      <formula1>'Gear Data'!$A$33:$A$46</formula1>
    </dataValidation>
    <dataValidation type="list" allowBlank="1" showErrorMessage="1" sqref="B6">
      <formula1>'Gear Data'!$A$62:$A$74</formula1>
    </dataValidation>
    <dataValidation type="list" allowBlank="1" showErrorMessage="1" sqref="B7">
      <formula1>'Gear Data'!$A$76:$A$90</formula1>
    </dataValidation>
    <dataValidation type="list" allowBlank="1" showErrorMessage="1" sqref="C4">
      <formula1>'Enchant Data'!$A$10:$A$15</formula1>
    </dataValidation>
    <dataValidation type="list" allowBlank="1" showErrorMessage="1" sqref="B12:B13">
      <formula1>'Gear Data'!$A$151:$A$172</formula1>
    </dataValidation>
    <dataValidation type="list" allowBlank="1" showErrorMessage="1" sqref="B16">
      <formula1>'Gear Data'!$A$191:$A$222</formula1>
    </dataValidation>
    <dataValidation type="list" allowBlank="1" showErrorMessage="1" sqref="C7">
      <formula1>'Enchant Data'!$A$24:$A$27</formula1>
    </dataValidation>
    <dataValidation type="list" allowBlank="1" showErrorMessage="1" sqref="C8">
      <formula1>'Enchant Data'!$A$29:$A$33</formula1>
    </dataValidation>
    <dataValidation type="list" allowBlank="1" showErrorMessage="1" sqref="C11">
      <formula1>'Enchant Data'!$A$40:$A$41</formula1>
    </dataValidation>
    <dataValidation type="list" allowBlank="1" showErrorMessage="1" sqref="C5">
      <formula1>'Enchant Data'!$A$17:$A$18</formula1>
    </dataValidation>
    <dataValidation type="list" allowBlank="1" showErrorMessage="1" sqref="C9">
      <formula1>'Enchant Data'!$A$35:$A$38</formula1>
    </dataValidation>
    <dataValidation type="list" allowBlank="1" showErrorMessage="1" sqref="C3 C12:C13">
      <formula1>'Enchant Data'!$A$43:$A$45</formula1>
    </dataValidation>
    <dataValidation type="list" allowBlank="1" showErrorMessage="1" sqref="B11">
      <formula1>'Gear Data'!$A$137:$A$149</formula1>
    </dataValidation>
    <dataValidation type="list" allowBlank="1" showErrorMessage="1" sqref="B3">
      <formula1>'Gear Data'!$A$18:$A$31</formula1>
    </dataValidation>
    <dataValidation type="list" allowBlank="1" showErrorMessage="1" sqref="B8">
      <formula1>'Gear Data'!$A$92:$A$104</formula1>
    </dataValidation>
    <dataValidation type="list" allowBlank="1" showErrorMessage="1" sqref="B14:B15">
      <formula1>'Gear Data'!$A$174:$A$189</formula1>
    </dataValidation>
    <dataValidation type="custom" allowBlank="1" showDropDown="1" sqref="J2:J16 L2:L16 U2:V16">
      <formula1>AND(ISNUMBER(J2),(NOT(OR(NOT(ISERROR(DATEVALUE(J2))), AND(ISNUMBER(J2), LEFT(CELL("format", J2))="D")))))</formula1>
    </dataValidation>
    <dataValidation type="list" allowBlank="1" showErrorMessage="1" sqref="B5">
      <formula1>'Gear Data'!$A$48:$A$60</formula1>
    </dataValidation>
    <dataValidation type="list" allowBlank="1" showErrorMessage="1" sqref="B9">
      <formula1>'Gear Data'!$A$106:$A$119</formula1>
    </dataValidation>
    <dataValidation type="list" allowBlank="1" showErrorMessage="1" sqref="C16">
      <formula1>'Enchant Data'!$A$47:$A$51</formula1>
    </dataValidation>
    <dataValidation type="list" allowBlank="1" showErrorMessage="1" sqref="C6">
      <formula1>'Enchant Data'!$A$20:$A$22</formula1>
    </dataValidation>
    <dataValidation type="list" allowBlank="1" showErrorMessage="1" sqref="C2 C10">
      <formula1>'Enchant Data'!$A$3:$A$8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v>92.0</v>
      </c>
      <c r="C2" s="10" t="s">
        <v>10</v>
      </c>
      <c r="D2" s="11">
        <v>5.0</v>
      </c>
      <c r="E2" s="10" t="s">
        <v>11</v>
      </c>
      <c r="F2" s="11">
        <v>259.0</v>
      </c>
      <c r="G2" s="4" t="s">
        <v>12</v>
      </c>
      <c r="H2" s="9">
        <v>60.0</v>
      </c>
      <c r="I2" s="12" t="s">
        <v>13</v>
      </c>
      <c r="J2" s="13" t="s">
        <v>289</v>
      </c>
      <c r="K2" s="4" t="s">
        <v>14</v>
      </c>
      <c r="L2" s="19">
        <v>1.0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17,1+(0.05*$R$2),1)+IF(F20,((100*(1+(D2*0.01))*IF(J10,1.1,1))*P24*IF(F17,1+(0.05*$R$2),1)),0)+IF(F25,((50*(1+(D2*0.01))*IF(J10,1.1,1))*R3*IF(F17,1+(0.05*$R$2),1)),0),0)</f>
        <v>370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0.3158917765</v>
      </c>
      <c r="T2" s="8" t="s">
        <v>18</v>
      </c>
      <c r="U2" s="18">
        <f>D4*0.45</f>
        <v>0</v>
      </c>
    </row>
    <row r="3">
      <c r="A3" s="8" t="s">
        <v>19</v>
      </c>
      <c r="B3" s="9">
        <v>0.0</v>
      </c>
      <c r="C3" s="10" t="s">
        <v>20</v>
      </c>
      <c r="D3" s="11">
        <v>5.0</v>
      </c>
      <c r="E3" s="10" t="s">
        <v>21</v>
      </c>
      <c r="F3" s="11">
        <v>389.0</v>
      </c>
      <c r="G3" s="4" t="s">
        <v>22</v>
      </c>
      <c r="H3" s="9">
        <v>63.0</v>
      </c>
      <c r="I3" s="12" t="s">
        <v>23</v>
      </c>
      <c r="J3" s="13" t="s">
        <v>215</v>
      </c>
      <c r="K3" s="4" t="s">
        <v>24</v>
      </c>
      <c r="L3" s="19">
        <v>1.0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$12),653*U4,0)+IF($J$25,(120*(15/MAX(H2,15))))+IF($J$28,(260*(20/MAX(H2,20))))+IF($J$29,(200*(20/MAX(H2,20))))))*IF($J$15,1.05,1),0)</f>
        <v>1462</v>
      </c>
      <c r="O3" s="10" t="s">
        <v>25</v>
      </c>
      <c r="P3" s="16">
        <f>IF($H$3=63,14%,5%+(($H$3-60)*0.75%))*IF($H$5,0,1)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0.4230732361</v>
      </c>
      <c r="T3" s="8" t="s">
        <v>27</v>
      </c>
      <c r="U3" s="21">
        <v>0.35</v>
      </c>
    </row>
    <row r="4">
      <c r="A4" s="8" t="s">
        <v>28</v>
      </c>
      <c r="B4" s="9">
        <v>77.0</v>
      </c>
      <c r="C4" s="10" t="s">
        <v>18</v>
      </c>
      <c r="D4" s="11">
        <v>0.0</v>
      </c>
      <c r="E4" s="10" t="s">
        <v>29</v>
      </c>
      <c r="F4" s="11">
        <v>3.6</v>
      </c>
      <c r="G4" s="4" t="s">
        <v>30</v>
      </c>
      <c r="H4" s="9">
        <v>1.0</v>
      </c>
      <c r="I4" s="8" t="s">
        <v>31</v>
      </c>
      <c r="J4" s="22" t="s">
        <v>262</v>
      </c>
      <c r="K4" s="4" t="s">
        <v>32</v>
      </c>
      <c r="L4" s="23">
        <v>0.0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291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v>0.04</v>
      </c>
      <c r="C5" s="10" t="s">
        <v>37</v>
      </c>
      <c r="D5" s="11">
        <v>0.0</v>
      </c>
      <c r="E5" s="10" t="s">
        <v>38</v>
      </c>
      <c r="F5" s="11" t="b">
        <v>1</v>
      </c>
      <c r="G5" s="12" t="s">
        <v>39</v>
      </c>
      <c r="H5" s="9" t="b">
        <v>1</v>
      </c>
      <c r="I5" s="8" t="s">
        <v>40</v>
      </c>
      <c r="J5" s="9" t="b">
        <v>0</v>
      </c>
      <c r="K5" s="4" t="s">
        <v>41</v>
      </c>
      <c r="L5" s="9" t="b">
        <v>1</v>
      </c>
      <c r="M5" s="8" t="s">
        <v>36</v>
      </c>
      <c r="N5" s="26">
        <f>$N$4/2000+($D$3/100)+IF($L$6,0.02,0)+IF(J14,0.03,0)+B5+0.017+(0.0004*($B$8-300))</f>
        <v>0.3077</v>
      </c>
      <c r="O5" s="10" t="s">
        <v>42</v>
      </c>
      <c r="P5" s="26">
        <f>10%+(10%*($H$3-60))</f>
        <v>0.4</v>
      </c>
      <c r="T5" s="8" t="s">
        <v>43</v>
      </c>
      <c r="U5" s="18">
        <f>0.05*D18*F21</f>
        <v>0</v>
      </c>
    </row>
    <row r="6">
      <c r="A6" s="8" t="s">
        <v>44</v>
      </c>
      <c r="B6" s="25">
        <v>0.02</v>
      </c>
      <c r="C6" s="10" t="s">
        <v>45</v>
      </c>
      <c r="D6" s="11">
        <v>5.0</v>
      </c>
      <c r="E6" s="10" t="s">
        <v>46</v>
      </c>
      <c r="F6" s="11" t="b">
        <v>1</v>
      </c>
      <c r="G6" s="10" t="s">
        <v>47</v>
      </c>
      <c r="H6" s="11" t="b">
        <v>0</v>
      </c>
      <c r="I6" s="4" t="s">
        <v>48</v>
      </c>
      <c r="J6" s="9" t="b">
        <v>1</v>
      </c>
      <c r="K6" s="12" t="s">
        <v>49</v>
      </c>
      <c r="L6" s="9" t="b"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v>0.03</v>
      </c>
      <c r="C7" s="10" t="s">
        <v>51</v>
      </c>
      <c r="D7" s="11">
        <v>0.0</v>
      </c>
      <c r="E7" s="10" t="s">
        <v>53</v>
      </c>
      <c r="F7" s="11" t="b">
        <v>1</v>
      </c>
      <c r="G7" s="12" t="s">
        <v>54</v>
      </c>
      <c r="H7" s="9">
        <v>4.0</v>
      </c>
      <c r="I7" s="4" t="s">
        <v>55</v>
      </c>
      <c r="J7" s="9" t="b">
        <v>0</v>
      </c>
      <c r="K7" s="12" t="s">
        <v>56</v>
      </c>
      <c r="L7" s="9" t="b">
        <v>1</v>
      </c>
      <c r="M7" s="8" t="s">
        <v>52</v>
      </c>
      <c r="N7" s="16">
        <f>(1+B7)*IF(F17,1+(0.1*R2),1)*IF($L$12,1.02,1)*IF($J$17,MIN(1+(0.2*(30/H2)),1.2),1)*(1+((IF(D6&gt;=1,0.05,0)+($D$6*0.03))*P18))*(1+(0.08*$P$21))*IF($J$24,1+(0.1*(10/H2)),1)*IF($J$27,MIN(1+(0.2*(15/H2)),1.2),1)-1</f>
        <v>0.2064803573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0.0833*D5*NOT(F21)</f>
        <v>0</v>
      </c>
    </row>
    <row r="8">
      <c r="A8" s="8" t="s">
        <v>58</v>
      </c>
      <c r="B8" s="9">
        <v>313.0</v>
      </c>
      <c r="C8" s="8" t="s">
        <v>59</v>
      </c>
      <c r="D8" s="11">
        <v>4.0</v>
      </c>
      <c r="E8" s="8" t="s">
        <v>60</v>
      </c>
      <c r="F8" s="11" t="b">
        <v>0</v>
      </c>
      <c r="G8" s="12" t="s">
        <v>61</v>
      </c>
      <c r="H8" s="9">
        <v>4211.0</v>
      </c>
      <c r="I8" s="4" t="s">
        <v>62</v>
      </c>
      <c r="J8" s="9" t="b">
        <v>1</v>
      </c>
      <c r="K8" s="4" t="s">
        <v>63</v>
      </c>
      <c r="L8" s="9" t="b">
        <v>0</v>
      </c>
      <c r="M8" s="8" t="s">
        <v>64</v>
      </c>
      <c r="N8" s="24">
        <f>ROUNDDOWN(($B$10+IF(B19="Tauren",85,86)+IF(B19="Troll",1,0)+IF($J$18,31,0)+IF($J$11,16,0))*IF($J$10,1.1,1)*(1+($D$2*0.01)),0)</f>
        <v>336</v>
      </c>
      <c r="O8" s="10" t="s">
        <v>65</v>
      </c>
      <c r="P8" s="16">
        <f>100%-SUM(P2:P5)-MIN(P9,N5-((H3-60)*0.01))</f>
        <v>0.2663</v>
      </c>
      <c r="T8" s="8" t="s">
        <v>59</v>
      </c>
      <c r="U8" s="18">
        <f>0.02*D8</f>
        <v>0.08</v>
      </c>
    </row>
    <row r="9">
      <c r="A9" s="8" t="s">
        <v>66</v>
      </c>
      <c r="B9" s="9">
        <v>500.0</v>
      </c>
      <c r="C9" s="10" t="s">
        <v>67</v>
      </c>
      <c r="D9" s="11">
        <v>5.0</v>
      </c>
      <c r="E9" s="8" t="s">
        <v>68</v>
      </c>
      <c r="F9" s="11" t="b">
        <v>0</v>
      </c>
      <c r="G9" s="12" t="s">
        <v>69</v>
      </c>
      <c r="H9" s="9" t="b">
        <v>1</v>
      </c>
      <c r="I9" s="4" t="s">
        <v>70</v>
      </c>
      <c r="J9" s="9" t="b">
        <v>1</v>
      </c>
      <c r="K9" s="4" t="s">
        <v>71</v>
      </c>
      <c r="L9" s="149" t="b">
        <v>0</v>
      </c>
      <c r="M9" s="8" t="s">
        <v>72</v>
      </c>
      <c r="N9" s="28">
        <f>$B$11+IF($L$15,12,0)</f>
        <v>12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v>157.0</v>
      </c>
      <c r="C10" s="10" t="s">
        <v>76</v>
      </c>
      <c r="D10" s="11">
        <v>2.0</v>
      </c>
      <c r="E10" s="8" t="s">
        <v>182</v>
      </c>
      <c r="F10" s="53" t="b">
        <v>0</v>
      </c>
      <c r="G10" s="12" t="s">
        <v>78</v>
      </c>
      <c r="H10" s="9" t="b">
        <v>1</v>
      </c>
      <c r="I10" s="4" t="s">
        <v>79</v>
      </c>
      <c r="J10" s="9" t="b">
        <v>1</v>
      </c>
      <c r="K10" s="12" t="s">
        <v>80</v>
      </c>
      <c r="L10" s="9" t="b"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244</v>
      </c>
      <c r="O10" s="10" t="s">
        <v>82</v>
      </c>
      <c r="P10" s="16">
        <f>N5-((H3-60)*0.01)</f>
        <v>0.2777</v>
      </c>
    </row>
    <row r="11">
      <c r="A11" s="8" t="s">
        <v>72</v>
      </c>
      <c r="B11" s="29">
        <v>0.0</v>
      </c>
      <c r="C11" s="10" t="s">
        <v>83</v>
      </c>
      <c r="D11" s="11">
        <v>3.0</v>
      </c>
      <c r="E11" s="10" t="s">
        <v>77</v>
      </c>
      <c r="F11" s="11" t="b">
        <v>0</v>
      </c>
      <c r="G11" s="12" t="s">
        <v>85</v>
      </c>
      <c r="H11" s="9" t="b">
        <v>1</v>
      </c>
      <c r="I11" s="4" t="s">
        <v>86</v>
      </c>
      <c r="J11" s="9" t="b">
        <v>1</v>
      </c>
      <c r="K11" s="12" t="s">
        <v>87</v>
      </c>
      <c r="L11" s="9" t="b"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16</v>
      </c>
    </row>
    <row r="12">
      <c r="A12" s="8" t="s">
        <v>90</v>
      </c>
      <c r="B12" s="9">
        <v>5.0</v>
      </c>
      <c r="C12" s="10" t="s">
        <v>91</v>
      </c>
      <c r="D12" s="11">
        <v>3.0</v>
      </c>
      <c r="E12" s="10" t="s">
        <v>84</v>
      </c>
      <c r="F12" s="11" t="b">
        <v>0</v>
      </c>
      <c r="G12" s="12" t="s">
        <v>93</v>
      </c>
      <c r="H12" s="9" t="b">
        <v>1</v>
      </c>
      <c r="I12" s="12" t="s">
        <v>94</v>
      </c>
      <c r="J12" s="9" t="b">
        <v>1</v>
      </c>
      <c r="K12" s="12" t="s">
        <v>95</v>
      </c>
      <c r="L12" s="9" t="b">
        <v>0</v>
      </c>
      <c r="M12" s="8" t="s">
        <v>96</v>
      </c>
      <c r="N12" s="24">
        <f>(17+(($N$10/5)*$N$11)+($N$9/2.5))+IF($J$22,10,0)+IF($J$21,15.6,0)</f>
        <v>49.84</v>
      </c>
      <c r="O12" s="31" t="s">
        <v>97</v>
      </c>
      <c r="P12" s="32">
        <f>P11 / (P11 + 400 + 85 * 60)</f>
        <v>0.002900652647</v>
      </c>
    </row>
    <row r="13">
      <c r="A13" s="8" t="s">
        <v>88</v>
      </c>
      <c r="B13" s="33">
        <v>0.0</v>
      </c>
      <c r="C13" s="10" t="s">
        <v>98</v>
      </c>
      <c r="D13" s="11">
        <v>3.0</v>
      </c>
      <c r="E13" s="10" t="s">
        <v>92</v>
      </c>
      <c r="F13" s="11" t="b">
        <v>1</v>
      </c>
      <c r="G13" s="12" t="s">
        <v>100</v>
      </c>
      <c r="H13" s="9" t="b">
        <v>1</v>
      </c>
      <c r="I13" s="12" t="s">
        <v>101</v>
      </c>
      <c r="J13" s="9" t="b">
        <v>1</v>
      </c>
      <c r="K13" s="12" t="s">
        <v>102</v>
      </c>
      <c r="L13" s="9" t="b">
        <v>0</v>
      </c>
      <c r="M13" s="8" t="s">
        <v>103</v>
      </c>
      <c r="N13" s="24">
        <f>1240+($N$8*15)</f>
        <v>6280</v>
      </c>
      <c r="O13" s="4" t="s">
        <v>104</v>
      </c>
      <c r="P13" s="16">
        <f>1-(($H$3-60)*0.02)</f>
        <v>0.94</v>
      </c>
    </row>
    <row r="14">
      <c r="A14" s="8" t="s">
        <v>105</v>
      </c>
      <c r="B14" s="9">
        <v>0.0</v>
      </c>
      <c r="C14" s="10" t="s">
        <v>106</v>
      </c>
      <c r="D14" s="11">
        <v>3.0</v>
      </c>
      <c r="E14" s="10" t="s">
        <v>99</v>
      </c>
      <c r="F14" s="11" t="b">
        <v>0</v>
      </c>
      <c r="G14" s="12" t="s">
        <v>108</v>
      </c>
      <c r="H14" s="9" t="b">
        <v>0</v>
      </c>
      <c r="I14" s="12" t="s">
        <v>109</v>
      </c>
      <c r="J14" s="9" t="b">
        <v>1</v>
      </c>
      <c r="K14" s="35" t="s">
        <v>110</v>
      </c>
      <c r="L14" s="53" t="b">
        <v>1</v>
      </c>
      <c r="M14" s="8" t="s">
        <v>111</v>
      </c>
      <c r="N14" s="28">
        <f>N13+(L2*2250)+(L3*1350)+(L4*1550)+(H2/2*N12)+((N19*59/60)*H2)+IF(J2="Water",130*(H2/H7),0)</f>
        <v>14680.83449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v>385.0</v>
      </c>
      <c r="C15" s="10" t="s">
        <v>114</v>
      </c>
      <c r="D15" s="11">
        <v>1.0</v>
      </c>
      <c r="E15" s="34" t="s">
        <v>107</v>
      </c>
      <c r="F15" s="9" t="b">
        <v>0</v>
      </c>
      <c r="G15" s="4" t="s">
        <v>116</v>
      </c>
      <c r="H15" s="9">
        <v>15.0</v>
      </c>
      <c r="I15" s="12" t="s">
        <v>117</v>
      </c>
      <c r="J15" s="9" t="b">
        <v>0</v>
      </c>
      <c r="K15" s="35" t="s">
        <v>118</v>
      </c>
      <c r="L15" s="53" t="b">
        <v>1</v>
      </c>
      <c r="M15" s="8" t="s">
        <v>113</v>
      </c>
      <c r="N15" s="15">
        <f>B15+IF(L16,150,0)+IF(L17,35,0)+IF(L18,55,0)+IF(L20,35,0)+IF(L21,15,0)+IF(L22,22,0)+IF(F27,132*P22,0)+IF($J$25,(60*(15/MAX(H2,15))))</f>
        <v>739.7603762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v>432.0</v>
      </c>
      <c r="C16" s="10" t="s">
        <v>121</v>
      </c>
      <c r="D16" s="11">
        <v>2.0</v>
      </c>
      <c r="E16" s="8" t="s">
        <v>115</v>
      </c>
      <c r="F16" s="9" t="b">
        <v>0</v>
      </c>
      <c r="G16" s="12" t="s">
        <v>123</v>
      </c>
      <c r="H16" s="9">
        <v>15.0</v>
      </c>
      <c r="I16" s="34" t="s">
        <v>124</v>
      </c>
      <c r="J16" s="53" t="b">
        <v>0</v>
      </c>
      <c r="K16" s="4" t="s">
        <v>125</v>
      </c>
      <c r="L16" s="11" t="b">
        <v>1</v>
      </c>
      <c r="M16" s="8" t="s">
        <v>120</v>
      </c>
      <c r="N16" s="15">
        <f>B16+IF(L16,150,0)+IF(L17,35,0)+IF(L19,40,0)+IF(L20,35,0)+IF(L21,15,0)+IF(L22,22,0)+IF(F27,132*P22,0)+IF($J$25,(60*(15/MAX(H2,15))))</f>
        <v>771.7603762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0.8128456923</v>
      </c>
    </row>
    <row r="17">
      <c r="A17" s="8" t="s">
        <v>127</v>
      </c>
      <c r="B17" s="25">
        <v>0.07</v>
      </c>
      <c r="C17" s="8" t="s">
        <v>128</v>
      </c>
      <c r="D17" s="11">
        <v>2.0</v>
      </c>
      <c r="E17" s="8" t="s">
        <v>122</v>
      </c>
      <c r="F17" s="9" t="b">
        <v>0</v>
      </c>
      <c r="G17" s="4" t="s">
        <v>130</v>
      </c>
      <c r="H17" s="9" t="b">
        <v>1</v>
      </c>
      <c r="I17" s="12" t="s">
        <v>131</v>
      </c>
      <c r="J17" s="9" t="b">
        <v>0</v>
      </c>
      <c r="K17" s="4" t="s">
        <v>132</v>
      </c>
      <c r="L17" s="11" t="b">
        <v>1</v>
      </c>
      <c r="M17" s="8" t="s">
        <v>127</v>
      </c>
      <c r="N17" s="16">
        <f>B17+(($N$8)/59.2)%+(IF(L21,2%,0))+3.53%+(IF(J16,3%,0))</f>
        <v>0.1820567568</v>
      </c>
      <c r="O17" s="10" t="s">
        <v>133</v>
      </c>
      <c r="P17" s="16">
        <f>IF(D15,1-(((1-$P$10)^(5/C43))*(1-(1-SUM($P$2,$P$3))*$P$10)^2)*((1-MIN(IF($H$3=63,0.83+$N$18,0.96+$N$18-(($H$3-60)*0.01)),0.99)*($N$17+IF($F$11,0.1,0)+U8+IF($F$13,5%,0)))^2),0)</f>
        <v>0.8469571179</v>
      </c>
    </row>
    <row r="18">
      <c r="A18" s="8" t="s">
        <v>134</v>
      </c>
      <c r="B18" s="25">
        <v>0.03</v>
      </c>
      <c r="C18" s="10" t="s">
        <v>43</v>
      </c>
      <c r="D18" s="11">
        <v>0.0</v>
      </c>
      <c r="E18" s="10" t="s">
        <v>129</v>
      </c>
      <c r="F18" s="11" t="b">
        <v>0</v>
      </c>
      <c r="G18" s="4" t="s">
        <v>136</v>
      </c>
      <c r="H18" s="9" t="b">
        <v>1</v>
      </c>
      <c r="I18" s="4" t="s">
        <v>137</v>
      </c>
      <c r="J18" s="9" t="b">
        <v>1</v>
      </c>
      <c r="K18" s="4" t="s">
        <v>138</v>
      </c>
      <c r="L18" s="11" t="b">
        <v>1</v>
      </c>
      <c r="M18" s="8" t="s">
        <v>134</v>
      </c>
      <c r="N18" s="36">
        <f>$P$16*MIN(B18+(D11*1%)+IF(J20,1%,0)+(D11*0.03),16%)+(1-$P$16)*MIN(B18+(D11*1%)+IF(J20,1%,0),16%)</f>
        <v>0.1431561123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0.7037310503</v>
      </c>
    </row>
    <row r="19">
      <c r="A19" s="8" t="s">
        <v>140</v>
      </c>
      <c r="B19" s="154" t="s">
        <v>355</v>
      </c>
      <c r="C19" s="8" t="s">
        <v>141</v>
      </c>
      <c r="D19" s="11">
        <v>1.0</v>
      </c>
      <c r="E19" s="10" t="s">
        <v>135</v>
      </c>
      <c r="F19" s="11" t="b">
        <v>1</v>
      </c>
      <c r="G19" s="4" t="s">
        <v>143</v>
      </c>
      <c r="H19" s="9" t="b">
        <v>1</v>
      </c>
      <c r="I19" s="4" t="s">
        <v>144</v>
      </c>
      <c r="J19" s="9" t="b">
        <v>1</v>
      </c>
      <c r="K19" s="4" t="s">
        <v>145</v>
      </c>
      <c r="L19" s="11" t="b">
        <v>1</v>
      </c>
      <c r="M19" s="8" t="s">
        <v>146</v>
      </c>
      <c r="N19" s="37">
        <f>IF($H$21,((60/C43)+(60/C46*2)+(60/C49)+IF(J3="Windfury",(60/C44),0)+IF(J3="Flametongue",((60/C43)+(60/C46)+(60/C49)),0)+$F$72+12)*0.5*(1-SUM($P$3,$P$2)),0)</f>
        <v>56.02770322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8" t="s">
        <v>142</v>
      </c>
      <c r="F20" s="53" t="b">
        <v>0</v>
      </c>
      <c r="G20" s="4" t="s">
        <v>149</v>
      </c>
      <c r="H20" s="9" t="b">
        <v>1</v>
      </c>
      <c r="I20" s="4" t="s">
        <v>150</v>
      </c>
      <c r="J20" s="9" t="b">
        <v>1</v>
      </c>
      <c r="K20" s="4" t="s">
        <v>151</v>
      </c>
      <c r="L20" s="11" t="b">
        <v>1</v>
      </c>
      <c r="N20" s="39"/>
      <c r="O20" s="10" t="s">
        <v>152</v>
      </c>
      <c r="P20" s="26">
        <f>IF($F$5,1-(0.65^(10/$C$51)),0)</f>
        <v>0.5775</v>
      </c>
    </row>
    <row r="21">
      <c r="E21" s="34" t="s">
        <v>148</v>
      </c>
      <c r="F21" s="9" t="b">
        <v>0</v>
      </c>
      <c r="G21" s="12" t="s">
        <v>154</v>
      </c>
      <c r="H21" s="11" t="b">
        <v>1</v>
      </c>
      <c r="I21" s="4" t="s">
        <v>155</v>
      </c>
      <c r="J21" s="9" t="b">
        <v>1</v>
      </c>
      <c r="K21" s="4" t="s">
        <v>156</v>
      </c>
      <c r="L21" s="11" t="b">
        <v>1</v>
      </c>
      <c r="O21" s="8" t="s">
        <v>157</v>
      </c>
      <c r="P21" s="36">
        <f>IF($F$6,1-EXP(-(0.15/(60/(60/C46))*8)),0)</f>
        <v>0.124826681</v>
      </c>
    </row>
    <row r="22">
      <c r="A22" s="40" t="s">
        <v>158</v>
      </c>
      <c r="B22" s="41">
        <f>$I$61</f>
        <v>1171.833303</v>
      </c>
      <c r="E22" s="10" t="s">
        <v>153</v>
      </c>
      <c r="F22" s="53" t="b">
        <v>0</v>
      </c>
      <c r="I22" s="4" t="s">
        <v>160</v>
      </c>
      <c r="J22" s="9" t="b">
        <v>1</v>
      </c>
      <c r="K22" s="10" t="s">
        <v>161</v>
      </c>
      <c r="L22" s="11" t="b">
        <v>0</v>
      </c>
      <c r="O22" s="8" t="s">
        <v>162</v>
      </c>
      <c r="P22" s="36">
        <f>1-EXP(-(0.05/(60/$H$72))*10)</f>
        <v>0.4906089103</v>
      </c>
    </row>
    <row r="23">
      <c r="A23" s="40" t="s">
        <v>163</v>
      </c>
      <c r="B23" s="43">
        <f>$G$61</f>
        <v>1767.31842</v>
      </c>
      <c r="E23" s="10" t="s">
        <v>159</v>
      </c>
      <c r="F23" s="53" t="b">
        <v>0</v>
      </c>
      <c r="I23" s="12" t="s">
        <v>74</v>
      </c>
      <c r="J23" s="9" t="b">
        <v>1</v>
      </c>
      <c r="K23" s="8" t="s">
        <v>165</v>
      </c>
      <c r="L23" s="11" t="b">
        <v>1</v>
      </c>
      <c r="O23" s="8" t="s">
        <v>166</v>
      </c>
      <c r="P23" s="36">
        <f>1-EXP(-(0.2/(60/$H$72))*6)</f>
        <v>0.8018823237</v>
      </c>
    </row>
    <row r="24">
      <c r="E24" s="10" t="s">
        <v>164</v>
      </c>
      <c r="F24" s="53" t="b">
        <v>0</v>
      </c>
      <c r="I24" s="12" t="s">
        <v>168</v>
      </c>
      <c r="J24" s="9" t="b">
        <v>1</v>
      </c>
      <c r="O24" s="8" t="s">
        <v>169</v>
      </c>
      <c r="P24" s="44">
        <f>1-EXP(-((E67*(1-SUM(P2:P3))/C43)+IF(J3="Windfury",(E67*(1-SUM(P2:P3))/C44),0)+(E67*(1-SUM(P2:P3))/C46)+(E67*(1-SUM(P2:P3))/C49))*20)</f>
        <v>0.4764411398</v>
      </c>
    </row>
    <row r="25">
      <c r="A25" s="45" t="s">
        <v>170</v>
      </c>
      <c r="B25" s="45" t="s">
        <v>171</v>
      </c>
      <c r="C25" s="45" t="s">
        <v>172</v>
      </c>
      <c r="E25" s="8" t="s">
        <v>167</v>
      </c>
      <c r="F25" s="53" t="b">
        <v>0</v>
      </c>
      <c r="I25" s="8" t="s">
        <v>174</v>
      </c>
      <c r="J25" s="9" t="b"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O25" s="155" t="s">
        <v>175</v>
      </c>
      <c r="P25" s="156" t="s">
        <v>293</v>
      </c>
      <c r="Q25" s="156" t="s">
        <v>177</v>
      </c>
      <c r="R25" s="157" t="s">
        <v>178</v>
      </c>
    </row>
    <row r="26">
      <c r="A26" s="18">
        <f>Sum(K43:K59)</f>
        <v>1</v>
      </c>
      <c r="B26" s="18">
        <f>K43+K46+K49+K44</f>
        <v>0.307971165</v>
      </c>
      <c r="C26" s="18">
        <f>1-B26</f>
        <v>0.692028835</v>
      </c>
      <c r="E26" s="8" t="s">
        <v>185</v>
      </c>
      <c r="F26" s="11" t="s">
        <v>291</v>
      </c>
      <c r="I26" s="10" t="s">
        <v>180</v>
      </c>
      <c r="J26" s="9" t="b">
        <v>0</v>
      </c>
      <c r="K26" s="49" t="s">
        <v>181</v>
      </c>
      <c r="L26" s="50">
        <f>(APWeight3!B23-B23)/100</f>
        <v>0.3036568686</v>
      </c>
      <c r="M26" s="51">
        <f t="shared" ref="M26:M40" si="1">L26/$L$26</f>
        <v>1</v>
      </c>
      <c r="N26" s="52">
        <f t="shared" ref="N26:N40" si="2">L26/$L$35</f>
        <v>0.4881908134</v>
      </c>
      <c r="O26" s="158" t="s">
        <v>181</v>
      </c>
      <c r="P26" s="159">
        <f>(APWeight3!B22-B22)/100</f>
        <v>0.2319234761</v>
      </c>
      <c r="Q26" s="160">
        <f t="shared" ref="Q26:Q40" si="3">P26/$P$26</f>
        <v>1</v>
      </c>
      <c r="R26" s="161">
        <f t="shared" ref="R26:R40" si="4">P26/$P$35</f>
        <v>0.6830048624</v>
      </c>
    </row>
    <row r="27">
      <c r="E27" s="8" t="s">
        <v>173</v>
      </c>
      <c r="F27" s="53" t="b">
        <v>1</v>
      </c>
      <c r="I27" s="4" t="s">
        <v>183</v>
      </c>
      <c r="J27" s="9" t="b">
        <v>0</v>
      </c>
      <c r="K27" s="49" t="s">
        <v>184</v>
      </c>
      <c r="L27" s="50">
        <f>(StrWeight3!B23-B23)/100</f>
        <v>0.7044839351</v>
      </c>
      <c r="M27" s="54">
        <f t="shared" si="1"/>
        <v>2.32</v>
      </c>
      <c r="N27" s="52">
        <f t="shared" si="2"/>
        <v>1.132602687</v>
      </c>
      <c r="O27" s="158" t="s">
        <v>184</v>
      </c>
      <c r="P27" s="159">
        <f>(StrWeight3!B22-B22)/100</f>
        <v>0.5380624645</v>
      </c>
      <c r="Q27" s="162">
        <f t="shared" si="3"/>
        <v>2.32</v>
      </c>
      <c r="R27" s="161">
        <f t="shared" si="4"/>
        <v>1.584571281</v>
      </c>
    </row>
    <row r="28">
      <c r="E28" s="8" t="s">
        <v>179</v>
      </c>
      <c r="F28" s="11">
        <v>1.0</v>
      </c>
      <c r="I28" s="4" t="s">
        <v>186</v>
      </c>
      <c r="J28" s="9" t="b">
        <v>0</v>
      </c>
      <c r="K28" s="49" t="s">
        <v>187</v>
      </c>
      <c r="L28" s="50">
        <f>(AgiWeight3!B23-B23)/100</f>
        <v>0.3837670831</v>
      </c>
      <c r="M28" s="54">
        <f t="shared" si="1"/>
        <v>1.26381822</v>
      </c>
      <c r="N28" s="52">
        <f t="shared" si="2"/>
        <v>0.6169844448</v>
      </c>
      <c r="O28" s="158" t="s">
        <v>187</v>
      </c>
      <c r="P28" s="159">
        <f>(AgiWeight3!B22-B22)/100</f>
        <v>0.2768514884</v>
      </c>
      <c r="Q28" s="162">
        <f t="shared" si="3"/>
        <v>1.193719122</v>
      </c>
      <c r="R28" s="161">
        <f t="shared" si="4"/>
        <v>0.815315965</v>
      </c>
      <c r="V28" s="42"/>
      <c r="W28" s="42"/>
    </row>
    <row r="29">
      <c r="I29" s="4" t="s">
        <v>188</v>
      </c>
      <c r="J29" s="9" t="b">
        <v>0</v>
      </c>
      <c r="K29" s="49" t="s">
        <v>189</v>
      </c>
      <c r="L29" s="50">
        <f>(IntWeight3!B23-B23)/100</f>
        <v>0.1588268098</v>
      </c>
      <c r="M29" s="54">
        <f t="shared" si="1"/>
        <v>0.5230469856</v>
      </c>
      <c r="N29" s="52">
        <f t="shared" si="2"/>
        <v>0.2553467333</v>
      </c>
      <c r="O29" s="158" t="s">
        <v>189</v>
      </c>
      <c r="P29" s="159">
        <f>(IntWeight3!B22-B22)/100</f>
        <v>0.09478397478</v>
      </c>
      <c r="Q29" s="162">
        <f t="shared" si="3"/>
        <v>0.4086864184</v>
      </c>
      <c r="R29" s="161">
        <f t="shared" si="4"/>
        <v>0.279134811</v>
      </c>
      <c r="V29" s="42"/>
      <c r="W29" s="42"/>
    </row>
    <row r="30">
      <c r="I30" s="8" t="s">
        <v>356</v>
      </c>
      <c r="J30" s="9" t="b">
        <v>0</v>
      </c>
      <c r="K30" s="49" t="s">
        <v>190</v>
      </c>
      <c r="L30" s="50">
        <f>PhysCritWeight3!B23-B23</f>
        <v>6.824928385</v>
      </c>
      <c r="M30" s="54">
        <f t="shared" si="1"/>
        <v>22.47579123</v>
      </c>
      <c r="N30" s="52">
        <f t="shared" si="2"/>
        <v>10.9724748</v>
      </c>
      <c r="O30" s="158" t="s">
        <v>190</v>
      </c>
      <c r="P30" s="159">
        <f>PhysCritWeight3!B22-B22</f>
        <v>4.913642101</v>
      </c>
      <c r="Q30" s="162">
        <f t="shared" si="3"/>
        <v>21.18648006</v>
      </c>
      <c r="R30" s="161">
        <f t="shared" si="4"/>
        <v>14.4704689</v>
      </c>
      <c r="V30" s="42"/>
      <c r="W30" s="42"/>
    </row>
    <row r="31">
      <c r="K31" s="49" t="s">
        <v>191</v>
      </c>
      <c r="L31" s="50">
        <f>PhysHitWeight3!B23-B23</f>
        <v>4.026368327</v>
      </c>
      <c r="M31" s="54">
        <f t="shared" si="1"/>
        <v>13.25959905</v>
      </c>
      <c r="N31" s="52">
        <f t="shared" si="2"/>
        <v>6.473214447</v>
      </c>
      <c r="O31" s="158" t="s">
        <v>191</v>
      </c>
      <c r="P31" s="159">
        <f>PhysHitWeight3!B22-B22</f>
        <v>2.91152592</v>
      </c>
      <c r="Q31" s="162">
        <f t="shared" si="3"/>
        <v>12.5538215</v>
      </c>
      <c r="R31" s="161">
        <f t="shared" si="4"/>
        <v>8.574321124</v>
      </c>
      <c r="V31" s="42"/>
      <c r="W31" s="42"/>
    </row>
    <row r="32">
      <c r="K32" s="49" t="s">
        <v>192</v>
      </c>
      <c r="L32" s="50">
        <f>HasteWeight3!B23-B23</f>
        <v>5.076323235</v>
      </c>
      <c r="M32" s="54">
        <f t="shared" si="1"/>
        <v>16.71730088</v>
      </c>
      <c r="N32" s="52">
        <f t="shared" si="2"/>
        <v>8.161232712</v>
      </c>
      <c r="O32" s="158" t="s">
        <v>192</v>
      </c>
      <c r="P32" s="159">
        <f>HasteWeight3!B22-B22</f>
        <v>3.672387399</v>
      </c>
      <c r="Q32" s="162">
        <f t="shared" si="3"/>
        <v>15.83447894</v>
      </c>
      <c r="R32" s="161">
        <f t="shared" si="4"/>
        <v>10.81502611</v>
      </c>
      <c r="V32" s="42"/>
      <c r="W32" s="42"/>
    </row>
    <row r="33">
      <c r="H33" s="56"/>
      <c r="I33" s="57"/>
      <c r="K33" s="49" t="s">
        <v>193</v>
      </c>
      <c r="L33" s="50">
        <f>(WepSkillWeight3!B23-B23)</f>
        <v>5.395900607</v>
      </c>
      <c r="M33" s="54">
        <f t="shared" si="1"/>
        <v>17.76973013</v>
      </c>
      <c r="N33" s="52">
        <f t="shared" si="2"/>
        <v>8.675019007</v>
      </c>
      <c r="O33" s="158" t="s">
        <v>193</v>
      </c>
      <c r="P33" s="159">
        <f>(WepSkillWeight3!B22-B22)</f>
        <v>3.925875065</v>
      </c>
      <c r="Q33" s="162">
        <f t="shared" si="3"/>
        <v>16.92745871</v>
      </c>
      <c r="R33" s="161">
        <f t="shared" si="4"/>
        <v>11.56153661</v>
      </c>
      <c r="V33" s="42"/>
      <c r="W33" s="42"/>
    </row>
    <row r="34">
      <c r="K34" s="49" t="s">
        <v>194</v>
      </c>
      <c r="L34" s="50">
        <f>ArPWeight3!B23-B23</f>
        <v>0.09869140758</v>
      </c>
      <c r="M34" s="54">
        <f t="shared" si="1"/>
        <v>0.3250096336</v>
      </c>
      <c r="N34" s="52">
        <f t="shared" si="2"/>
        <v>0.1586667174</v>
      </c>
      <c r="O34" s="158" t="s">
        <v>194</v>
      </c>
      <c r="P34" s="159">
        <f>ArPWeight3!B22-B22</f>
        <v>0.07253818457</v>
      </c>
      <c r="Q34" s="162">
        <f t="shared" si="3"/>
        <v>0.3127677534</v>
      </c>
      <c r="R34" s="161">
        <f t="shared" si="4"/>
        <v>0.2136218964</v>
      </c>
    </row>
    <row r="35">
      <c r="K35" s="49" t="s">
        <v>195</v>
      </c>
      <c r="L35" s="50">
        <f>L37+L36</f>
        <v>0.6220044709</v>
      </c>
      <c r="M35" s="54">
        <f t="shared" si="1"/>
        <v>2.048379389</v>
      </c>
      <c r="N35" s="58">
        <f t="shared" si="2"/>
        <v>1</v>
      </c>
      <c r="O35" s="158" t="s">
        <v>195</v>
      </c>
      <c r="P35" s="159">
        <f>P37+P36</f>
        <v>0.3395634334</v>
      </c>
      <c r="Q35" s="162">
        <f t="shared" si="3"/>
        <v>1.46411842</v>
      </c>
      <c r="R35" s="164">
        <f t="shared" si="4"/>
        <v>1</v>
      </c>
    </row>
    <row r="36">
      <c r="K36" s="49" t="s">
        <v>196</v>
      </c>
      <c r="L36" s="50">
        <f>NatureWeight3!B23-B23</f>
        <v>0.1480572567</v>
      </c>
      <c r="M36" s="54">
        <f t="shared" si="1"/>
        <v>0.4875807927</v>
      </c>
      <c r="N36" s="52">
        <f t="shared" si="2"/>
        <v>0.2380324638</v>
      </c>
      <c r="O36" s="158" t="s">
        <v>196</v>
      </c>
      <c r="P36" s="159">
        <f>NatureWeight3!B22-B22</f>
        <v>0.1425417996</v>
      </c>
      <c r="Q36" s="162">
        <f t="shared" si="3"/>
        <v>0.6146070331</v>
      </c>
      <c r="R36" s="161">
        <f t="shared" si="4"/>
        <v>0.4197795921</v>
      </c>
    </row>
    <row r="37">
      <c r="K37" s="49" t="s">
        <v>197</v>
      </c>
      <c r="L37" s="50">
        <f>FireWeight3!B23-B23</f>
        <v>0.4739472142</v>
      </c>
      <c r="M37" s="54">
        <f t="shared" si="1"/>
        <v>1.560798596</v>
      </c>
      <c r="N37" s="52">
        <f t="shared" si="2"/>
        <v>0.7619675362</v>
      </c>
      <c r="O37" s="158" t="s">
        <v>197</v>
      </c>
      <c r="P37" s="159">
        <f>FireWeight3!B22-B22</f>
        <v>0.1970216338</v>
      </c>
      <c r="Q37" s="162">
        <f t="shared" si="3"/>
        <v>0.8495113868</v>
      </c>
      <c r="R37" s="161">
        <f t="shared" si="4"/>
        <v>0.5802204079</v>
      </c>
    </row>
    <row r="38">
      <c r="K38" s="49" t="s">
        <v>198</v>
      </c>
      <c r="L38" s="50">
        <f>SpellCritWeight3!B23-B23</f>
        <v>8.176127946</v>
      </c>
      <c r="M38" s="54">
        <f t="shared" si="1"/>
        <v>26.92554917</v>
      </c>
      <c r="N38" s="52">
        <f t="shared" si="2"/>
        <v>13.14480575</v>
      </c>
      <c r="O38" s="158" t="s">
        <v>198</v>
      </c>
      <c r="P38" s="159">
        <f>SpellCritWeight3!B22-B22</f>
        <v>4.87931418</v>
      </c>
      <c r="Q38" s="162">
        <f t="shared" si="3"/>
        <v>21.03846606</v>
      </c>
      <c r="R38" s="161">
        <f t="shared" si="4"/>
        <v>14.36937462</v>
      </c>
    </row>
    <row r="39">
      <c r="K39" s="49" t="s">
        <v>199</v>
      </c>
      <c r="L39" s="50">
        <f>(SpellHitWeight3!B23-B23)</f>
        <v>1.665903896</v>
      </c>
      <c r="M39" s="54">
        <f t="shared" si="1"/>
        <v>5.486139352</v>
      </c>
      <c r="N39" s="52">
        <f t="shared" si="2"/>
        <v>2.678282833</v>
      </c>
      <c r="O39" s="158" t="s">
        <v>199</v>
      </c>
      <c r="P39" s="159">
        <f>(SpellHitWeight3!B22-B22)</f>
        <v>1.027403993</v>
      </c>
      <c r="Q39" s="162">
        <f t="shared" si="3"/>
        <v>4.429926672</v>
      </c>
      <c r="R39" s="161">
        <f t="shared" si="4"/>
        <v>3.025661457</v>
      </c>
    </row>
    <row r="40">
      <c r="K40" s="59" t="s">
        <v>200</v>
      </c>
      <c r="L40" s="60">
        <f>SpellPenWeight3!B23-B23</f>
        <v>0</v>
      </c>
      <c r="M40" s="61">
        <f t="shared" si="1"/>
        <v>0</v>
      </c>
      <c r="N40" s="62">
        <f t="shared" si="2"/>
        <v>0</v>
      </c>
      <c r="O40" s="165" t="s">
        <v>200</v>
      </c>
      <c r="P40" s="166">
        <f>SpellPenWeight3!B22-B22</f>
        <v>0</v>
      </c>
      <c r="Q40" s="162">
        <f t="shared" si="3"/>
        <v>0</v>
      </c>
      <c r="R40" s="161">
        <f t="shared" si="4"/>
        <v>0</v>
      </c>
    </row>
    <row r="41">
      <c r="R41" s="18"/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  <c r="R42" s="18"/>
    </row>
    <row r="43">
      <c r="A43" s="71" t="s">
        <v>213</v>
      </c>
      <c r="B43" s="72">
        <f t="shared" ref="B43:B45" si="5">$F$4</f>
        <v>3.6</v>
      </c>
      <c r="C43" s="2">
        <f>$F$4/(1+$N$7)</f>
        <v>2.983886127</v>
      </c>
      <c r="D43" s="7"/>
      <c r="E43" s="73">
        <f>14/F4</f>
        <v>3.888888889</v>
      </c>
      <c r="F43" s="74">
        <f>($F$2+($N$3/E43))*(1+U8)*IF($H$13,1.04,1)*(1-$P$12)+IF($H14,8,0)</f>
        <v>711.099165</v>
      </c>
      <c r="G43" s="74">
        <f>($F$3+($N$3/E43))*(1+U8)*IF($H$13,1.04,1)*(1-$P$12)+IF($H14,8,0)</f>
        <v>856.6916233</v>
      </c>
      <c r="H43" s="74">
        <f>((AVERAGE(F43,G43)*$P$5*$P$7)+(AVERAGE(F43,G43)*$P$10*2)+(AVERAGE(F43,G43)*$P$8)+((AVERAGE(F43,G43)-$P$6)*$P$4))</f>
        <v>929.4647689</v>
      </c>
      <c r="I43" s="75">
        <f>H43/C43</f>
        <v>311.4947185</v>
      </c>
      <c r="J43" s="76">
        <f>I43*(IF($J$3="Rockbiter",1+U3,1)+IF(AND($J$3="Rockbiter",$F$12),U3*U4,0))*IF($J$6,0.75,1)*IF($J$7,0.8,1)*IF($F$18,1.02,1)*IF($F$19,0.98,1)*(1-U7)*(1+U5)</f>
        <v>228.9486181</v>
      </c>
      <c r="K43" s="18">
        <f t="shared" ref="K43:K52" si="6">I43/$B$23</f>
        <v>0.1762527425</v>
      </c>
      <c r="L43" s="74"/>
      <c r="M43" s="74"/>
      <c r="N43" s="2"/>
      <c r="O43" s="75"/>
      <c r="P43" s="75"/>
    </row>
    <row r="44">
      <c r="A44" s="71" t="s">
        <v>214</v>
      </c>
      <c r="B44" s="72">
        <f t="shared" si="5"/>
        <v>3.6</v>
      </c>
      <c r="C44" s="2">
        <f>IF($J$3="Windfury",60/(P19*2),0)</f>
        <v>0</v>
      </c>
      <c r="D44" s="7"/>
      <c r="E44" s="73"/>
      <c r="F44" s="74">
        <f>($F$2+(($N$3+323)/$E$43))*(1+U8)*IF($H$13,1.04,1)*(1-$P$12)+IF($H14,8,0)</f>
        <v>804.1183466</v>
      </c>
      <c r="G44" s="74">
        <f>($F$3+(($N$3+323)/$E$43))*(1+U8)*IF($H$13,1.04,1)*(1-$P$12)+IF($H14,8,0)</f>
        <v>949.7108049</v>
      </c>
      <c r="H44" s="74">
        <f>((AVERAGE(F44,G44)*$P$5*$P$7)+(AVERAGE(F44,G44)*$P$10*2)+(AVERAGE(F44,G44)*$P$8)+((AVERAGE(F44,G44)-$P$6)*$P$4))*IF(J3="Windfury",1,0)</f>
        <v>0</v>
      </c>
      <c r="I44" s="75">
        <f>IF($J$3="Windfury",(H44/C44),0)</f>
        <v>0</v>
      </c>
      <c r="J44" s="76">
        <f>I44*(IF($J$3="Rockbiter",1+U3,1)+IF(AND($J$3="Rockbiter",$F$12),U3*U4,0))*IF($J$6,0.7,1)*IF($J$7,0.8,1)*IF($F$18,1.02,1)*IF($F$19,0.98,1)*(1-U7)*(1+U5)</f>
        <v>0</v>
      </c>
      <c r="K44" s="18">
        <f t="shared" si="6"/>
        <v>0</v>
      </c>
      <c r="L44" s="74"/>
      <c r="M44" s="74"/>
      <c r="N44" s="2"/>
      <c r="O44" s="75"/>
      <c r="P44" s="75"/>
    </row>
    <row r="45">
      <c r="A45" s="71" t="s">
        <v>215</v>
      </c>
      <c r="B45" s="72">
        <f t="shared" si="5"/>
        <v>3.6</v>
      </c>
      <c r="C45" s="2">
        <f>$F$4/(1+$N$7)</f>
        <v>2.983886127</v>
      </c>
      <c r="D45" s="77">
        <f>0.1</f>
        <v>0.1</v>
      </c>
      <c r="E45" s="73"/>
      <c r="F45" s="74">
        <f>(29.5*$F$4+(D45*$N$16))*(1+IF(J3="Flametongue",0.1*$D$12,0))*(1+($D$14*0.05))*(1+($D$17*0.05))*IF($H$18,1.1,1)*IF($H$19,1.15,1)*IF($H$20,1+(0.1*H67),1)*IF(F10,1.45,1)</f>
        <v>395.0026797</v>
      </c>
      <c r="G45" s="74">
        <f>(29.5*$F$4+(D45*$N$16))*(1+IF(J3="Flametongue",0.1*$D$12,0))*(1+($D$14*0.05))*(1+($D$17*0.05))*IF($H$18,1.1,1)*IF($H$19,1.15,1)*IF($H$20,1+(0.1*H67),1)*IF(F10,1.45,1)</f>
        <v>395.0026797</v>
      </c>
      <c r="H45" s="74">
        <f>(AVERAGE(F45,G45))*(($N$17+$U$8)*(1.5+($D$17*0.25)))+(AVERAGE(F45,G45))*((MIN(IF($H$3=63,0.83+$N$18,0.96+$N$18-(($H$3-60)*0.01)),0.99))-($N$17+$U$8))*((1-$P$15*0.0025)*$P$13)*(1-P2-P3)</f>
        <v>456.2733773</v>
      </c>
      <c r="I45" s="75">
        <f>IF($J$3="Flametongue",(H45/C45)+(H45/C46)+(H45/C49))</f>
        <v>260.6436772</v>
      </c>
      <c r="J45" s="76">
        <f>I45*(IF($J$3="Rockbiter",1+U3,1)+IF(AND($J$3="Rockbiter",$F$12),U3*U4,0))*IF($J$6,0.7,1)*IF($J$7,0.8,1)*IF($F$18,1.02,1)*IF($F$19,0.98,1)*(1-U7)*(1+U5)</f>
        <v>178.8015626</v>
      </c>
      <c r="K45" s="18">
        <f t="shared" si="6"/>
        <v>0.1474797491</v>
      </c>
      <c r="L45" s="74"/>
      <c r="M45" s="74"/>
      <c r="N45" s="2"/>
      <c r="O45" s="75"/>
      <c r="P45" s="75"/>
    </row>
    <row r="46">
      <c r="A46" s="71" t="s">
        <v>216</v>
      </c>
      <c r="B46" s="78">
        <v>1.5</v>
      </c>
      <c r="C46" s="71">
        <f t="shared" ref="C46:C48" si="7">IF($F$11,8.5,9)</f>
        <v>9</v>
      </c>
      <c r="D46" s="7"/>
      <c r="E46" s="73">
        <f>14/F4</f>
        <v>3.888888889</v>
      </c>
      <c r="F46" s="79">
        <f>F43*0.6*(1+U8)</f>
        <v>460.7922589</v>
      </c>
      <c r="G46" s="79">
        <f>G43*0.6*(1+U8)</f>
        <v>555.1361719</v>
      </c>
      <c r="H46" s="74">
        <f>(AVERAGE(F46,G46)*($P$10+$U$8)*(2*(1+$D$17*0.25))+(AVERAGE(F46,G46)*(1-$P$2-$P$3-$P$4-($P$10+U8)))+((AVERAGE(F46,G46)-$P$6)*$P$4))</f>
        <v>842.9158191</v>
      </c>
      <c r="I46" s="75">
        <f t="shared" ref="I46:I47" si="8">H46/C46</f>
        <v>93.65731323</v>
      </c>
      <c r="J46" s="76">
        <f>I46*(IF($J$3="Rockbiter",1+U3,1)+IF(AND($J$3="Rockbiter",$F$12),U3*U4,0))*IF($J$6,0.75,1)*IF($J$7,0.8,1)*IF($F$18,1.02,1)*IF($F$19,0.98,1)*(1-U7)*(1+U5)</f>
        <v>68.83812522</v>
      </c>
      <c r="K46" s="18">
        <f t="shared" si="6"/>
        <v>0.05299402313</v>
      </c>
      <c r="L46" s="80">
        <f>IF($J$2="Lightning",(182*(1-J26*0.2)),(182*(1-J26*0.2))-(150+($N$3/10)))-($P$17*0.6*182)</f>
        <v>89.51228272</v>
      </c>
      <c r="M46" s="74">
        <f>L46/C46</f>
        <v>9.945809191</v>
      </c>
      <c r="N46" s="2"/>
      <c r="O46" s="75"/>
      <c r="P46" s="75"/>
    </row>
    <row r="47">
      <c r="A47" s="71" t="s">
        <v>217</v>
      </c>
      <c r="B47" s="78">
        <v>1.5</v>
      </c>
      <c r="C47" s="71">
        <f t="shared" si="7"/>
        <v>9</v>
      </c>
      <c r="D47" s="81">
        <v>0.05</v>
      </c>
      <c r="E47" s="73">
        <f>14/F4</f>
        <v>3.888888889</v>
      </c>
      <c r="F47" s="79">
        <f>(($F$2+($N$3/E43))*(0.2)+($D$47*$N$15))*(1+U8)*IF($H$20,1+(0.1*H67),1)*(1+(D17*0.05))*IF(J23,1+U9,1)</f>
        <v>252.1397741</v>
      </c>
      <c r="G47" s="79">
        <f>(($F$3+($N$3/E43))*(0.2)+($D$47*$N$15))*(1+U8)*IF($H$20,1+(0.1*H67),1)*(1+(D17*0.05))*IF(J23,1+U9,1)</f>
        <v>292.1188596</v>
      </c>
      <c r="H47" s="74">
        <f>(AVERAGE(F47,G47)*($P$10+$U$8)*(1.5+($D$17*0.25))+(AVERAGE(F47,G47)*(1-$P$2-$P$3-$P$4-($P$10+U8)))+((AVERAGE(F47,G47)-$P$6)*$P$4))*IF(J23,1+U9,1)</f>
        <v>442.7884146</v>
      </c>
      <c r="I47" s="75">
        <f t="shared" si="8"/>
        <v>49.19871274</v>
      </c>
      <c r="J47" s="76">
        <f>I47*(IF($J$3="Rockbiter",1+U3,1)+IF(AND($J$3="Rockbiter",$F$12),U3*U4,0))*IF($J$6,0.75,1)*IF($J$7,0.8,1)*IF($F$18,1.02,1)*IF($F$19,0.98,1)*(1-U7)*(1+U5)</f>
        <v>36.16105386</v>
      </c>
      <c r="K47" s="18">
        <f t="shared" si="6"/>
        <v>0.02783805803</v>
      </c>
      <c r="L47" s="80"/>
      <c r="M47" s="74"/>
      <c r="N47" s="2"/>
      <c r="O47" s="75"/>
      <c r="P47" s="75"/>
    </row>
    <row r="48">
      <c r="A48" s="71" t="s">
        <v>218</v>
      </c>
      <c r="B48" s="78">
        <v>1.5</v>
      </c>
      <c r="C48" s="71">
        <f t="shared" si="7"/>
        <v>9</v>
      </c>
      <c r="D48" s="81">
        <v>0.265</v>
      </c>
      <c r="E48" s="82">
        <v>0.25</v>
      </c>
      <c r="F48" s="74">
        <f>IF($J$2="Lightning",(198+(D48*N15)+(E48*$N$3))*IF($J$23,1+U9,1)*IF($F$13,1.15,1)*(1+(D17*0.05))*(1+(D9*0.01))*IF($H$20,1+(0.1*H67),1)*IF(J26,1.15,1),0)</f>
        <v>1305.784595</v>
      </c>
      <c r="G48" s="74">
        <f>IF($J$2="Lightning",(198+(D48*N15)+(E48*$N$3))*IF($J$23,1+U9,1)*IF($F$13,1.15,1)*(1+(D17*0.05))*(1+(D9*0.01))*IF($H$20,1+(0.1*H67),1)*IF(J26,1.15,1),0)</f>
        <v>1305.784595</v>
      </c>
      <c r="H48" s="74">
        <f>G48*((1-$P$14*0.0025)*$P$13)*(1-P2-P3)</f>
        <v>1158.701018</v>
      </c>
      <c r="I48" s="75">
        <f>IF(F16,((H48/C48)+(H48/C43)*0.15+(H48/C46)*0.15+(H48/C49)*0.15+IF(J3="Windfury",H48/C44,0)*0.15)*(1-P2),(H48/C48)*(1-P2))</f>
        <v>121.5348624</v>
      </c>
      <c r="J48" s="76">
        <f>IF($J$2="Lightning",I48*(IF($J$3="Rockbiter",1+U3,1)+IF(AND($J$3="Rockbiter",$F$12),U3*U4,0))*IF($J$6,0.75,1)*IF($J$7,0.8,1)*IF($F$18,1.02,1)*IF($F$19,0.98,1)*(1+U5),((150+($N$3/10))/2)*(IF($J$3="Rockbiter",1+U3,1)+IF(AND($J$3="Rockbiter",$F$12),U3*U4,0))*IF($J$6,0.7,1)*IF($J$7,0.8,1)*IF($F$18,1.02,1)*IF($F$19,0.98,1)*(1+U5))</f>
        <v>89.32812383</v>
      </c>
      <c r="K48" s="18">
        <f t="shared" si="6"/>
        <v>0.06876794864</v>
      </c>
      <c r="L48" s="80">
        <f>IF($J$2="Lightning",(182*(1-J26*0.2)),(182*(1-J26*0.2))-(150+($N$3/10)))-($P$17*0.6*182)</f>
        <v>89.51228272</v>
      </c>
      <c r="M48" s="74">
        <f>L48/C48/9</f>
        <v>1.10508991</v>
      </c>
      <c r="N48" s="2"/>
      <c r="O48" s="75"/>
      <c r="P48" s="75"/>
    </row>
    <row r="49">
      <c r="A49" s="71" t="s">
        <v>74</v>
      </c>
      <c r="B49" s="78">
        <v>1.5</v>
      </c>
      <c r="C49" s="71">
        <f>IF($F$11,7.5,8)</f>
        <v>8</v>
      </c>
      <c r="D49" s="7"/>
      <c r="E49" s="83">
        <f>14/F4</f>
        <v>3.888888889</v>
      </c>
      <c r="F49" s="74">
        <f>$F$43*1.01*(1+U8)</f>
        <v>775.6669692</v>
      </c>
      <c r="G49" s="74">
        <f>$G$43*1.01*(1+U8)</f>
        <v>934.4792227</v>
      </c>
      <c r="H49" s="74">
        <f>(AVERAGE(F49,G49)*($P$10+$U$8)*2)+(AVERAGE(F49,G49)*(1-$P$2-$P$3-$P$4-($P$10+U8)))+((AVERAGE(F49,G49)-$P$6)*$P$4)</f>
        <v>1113.048649</v>
      </c>
      <c r="I49" s="75">
        <f>H49/C49</f>
        <v>139.1310811</v>
      </c>
      <c r="J49" s="76">
        <f>I49*(IF($J$3="Rockbiter",1+U3,1)+IF(AND($J$3="Rockbiter",$F$12),U3*U4,0))*IF($J$6,0.75,1)*IF($J$7,0.8,1)*IF($F$18,1.02,1)*IF($F$19,0.98,1)*(1-U7)*(1+U5)</f>
        <v>102.2613446</v>
      </c>
      <c r="K49" s="18">
        <f t="shared" si="6"/>
        <v>0.07872439937</v>
      </c>
      <c r="L49" s="80">
        <f>(152*(1-J26*0.2))-($P$17*0.6*152)</f>
        <v>74.75751084</v>
      </c>
      <c r="M49" s="74">
        <f t="shared" ref="M49:M51" si="9">L49/C49</f>
        <v>9.344688856</v>
      </c>
      <c r="N49" s="2"/>
      <c r="O49" s="75"/>
      <c r="P49" s="75"/>
    </row>
    <row r="50">
      <c r="A50" s="71" t="s">
        <v>219</v>
      </c>
      <c r="B50" s="78">
        <v>1.5</v>
      </c>
      <c r="C50" s="71">
        <f t="shared" ref="C50:C51" si="10">6-($D$13*(1/3))</f>
        <v>5</v>
      </c>
      <c r="D50" s="77">
        <v>0.386</v>
      </c>
      <c r="E50" s="82">
        <v>0.1</v>
      </c>
      <c r="F50" s="80">
        <f>(492+(E50*$N$3)+(D50*$N$15)+IF(F7,30,0))*(1+(D17*0.05))*(1+(D9*0.01))*IF($J$23,1+U9,1)*IF(F15,1.1,1)*IF(J26,1.15,1)*IF($H$20,1+(0.1*H67),1)</f>
        <v>1425.799528</v>
      </c>
      <c r="G50" s="80">
        <f>(520+(E50*$N$3)+(D50*$N$15)+IF(F7,30,0))*(1+(D17*0.05))*(1+(D9*0.01))*IF($J$23,1+U9,1)*IF(F15,1.1,1)*IF(J26,1.15,1)*IF($H$20,1+(0.1*H67),1)</f>
        <v>1467.657972</v>
      </c>
      <c r="H50" s="80">
        <f>(AVERAGE(F50,G50))*(($N$17+$U$8+IF($F$14,0.05,0))*(1.5+($D$17*0.25)))+(AVERAGE(F50,G50))*((MIN(IF($H$3=63,0.83+$N$18,0.96+$N$18-(($H$3-60)*0.01)),0.99))-($N$17+$U$8+IF($F$14,0.05,0)))*((1-$P$14*0.0025)*$P$13)</f>
        <v>1725.291897</v>
      </c>
      <c r="I50" s="75">
        <f>H50*2/15</f>
        <v>230.0389196</v>
      </c>
      <c r="J50" s="76">
        <f>I50*(IF($J$3="Rockbiter",1+U3,1)+IF(AND($J$3="Rockbiter",$F$12),U3*U4,0))*IF($J$6,0.75,1)*IF($J$7,0.8,1)*IF($F$18,1.02,1)*IF($F$19,0.98,1)*1.5*(1+U5)</f>
        <v>253.6179088</v>
      </c>
      <c r="K50" s="18">
        <f t="shared" si="6"/>
        <v>0.13016269</v>
      </c>
      <c r="L50" s="80">
        <f>(450*(1-($D$10*0.02))*(1-J26*0.2))-($P$17*0.6*450)</f>
        <v>203.3215782</v>
      </c>
      <c r="M50" s="74">
        <f t="shared" si="9"/>
        <v>40.66431563</v>
      </c>
      <c r="N50" s="2"/>
      <c r="O50" s="75"/>
      <c r="P50" s="75"/>
    </row>
    <row r="51">
      <c r="A51" s="71" t="s">
        <v>220</v>
      </c>
      <c r="B51" s="78">
        <v>1.5</v>
      </c>
      <c r="C51" s="71">
        <f t="shared" si="10"/>
        <v>5</v>
      </c>
      <c r="D51" s="77">
        <v>0.214</v>
      </c>
      <c r="E51" s="84">
        <v>0.085</v>
      </c>
      <c r="F51" s="80">
        <f>(293+(E51*$N$3)+(D51*$N$16)+IF($F$7,30,0))*(1+D9*0.01)*IF(J3="Flametongue",1+(D12*0.1),1)*(1+($D$14*0.05))*(1+($D$17*0.05))*IF($H$18,1.1,1)*IF($H$19,1.15,1)*IF($H$20,1+(0.1*H67),1)*IF(F15,1.1,1)*IF(J26,1.15,1)</f>
        <v>1385.163017</v>
      </c>
      <c r="G51" s="80">
        <f>(293+(E51*$N$3)+(D51*$N$16)+IF($F$7,30,0))*(1+D9*0.01)*IF(J3="Flametongue",1+(D12*0.1),1)*(1+($D$14*0.05))*(1+($D$17*0.05))*IF($H$18,1.1,1)*IF($H$19,1.15,1)*IF($H$20,1+(0.1*H67),1)*IF(F15,1.1,1)*IF(J26,1.15,1)</f>
        <v>1385.163017</v>
      </c>
      <c r="H51" s="80">
        <f>(AVERAGE(F51,G51))*(($N$17+$U$8+IF($F$14,0.05,0))*(1.5+($D$17*0.25)))+(AVERAGE(F51,G51))*((MIN(IF($H$3=63,0.83+$N$18,0.96+$N$18-(($H$3-60)*0.01)),0.99))-($N$17+$U$8+IF($F$14,0.05,0)))*((1-$P$15*0.0025)*$P$13)</f>
        <v>1651.871873</v>
      </c>
      <c r="I51" s="75">
        <f t="shared" ref="I51:I52" si="11">H51/15</f>
        <v>110.1247915</v>
      </c>
      <c r="J51" s="76">
        <f>I51*(IF($J$3="Rockbiter",1+U3,1)+IF(AND($J$3="Rockbiter",$F$12),U3*U4,0))*IF($J$6,0.75,1)*IF($J$7,0.8,1)*IF($F$18,1.02,1)*IF($F$19,0.98,1)*(1+U5)</f>
        <v>80.94172176</v>
      </c>
      <c r="K51" s="18">
        <f t="shared" si="6"/>
        <v>0.06231179976</v>
      </c>
      <c r="L51" s="80">
        <f>(410*(1-($D$10*0.02))*(1-J26*0.2)-($P$17*0.6*450))</f>
        <v>164.9215782</v>
      </c>
      <c r="M51" s="74">
        <f t="shared" si="9"/>
        <v>32.98431563</v>
      </c>
      <c r="N51" s="2"/>
      <c r="O51" s="75"/>
      <c r="P51" s="75"/>
    </row>
    <row r="52">
      <c r="A52" s="71" t="s">
        <v>221</v>
      </c>
      <c r="B52" s="78">
        <v>1.5</v>
      </c>
      <c r="C52" s="71">
        <v>1.5</v>
      </c>
      <c r="D52" s="77">
        <v>0.1</v>
      </c>
      <c r="E52" s="84">
        <v>0.015</v>
      </c>
      <c r="F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G52" s="80">
        <f>(82+(E52*$N$3)+(D52*$N$16)+IF($F$7,30,0))*(1+D9*0.01)*IF(J3="Flametongue",1+(D12*0.1),1)*(1+($D$14*0.05))*(1+($D$17*0.05))*IF($H$18,1.1,1)*IF($H$19,1.15,1)*IF($H$20,1+(0.1*H67),1)*IF(F15,1.1,1)*IF(J26,1.15,1)</f>
        <v>477.4714528</v>
      </c>
      <c r="H52" s="80">
        <f>(AVERAGE(F52,G52))*MIN(IF($H$3=63,0.83+$N$18,0.96+$N$18-(($H$3-60)*0.01)),0.99)*((1-$P$15*0.0025)*$P$13)*5</f>
        <v>2183.875035</v>
      </c>
      <c r="I52" s="75">
        <f t="shared" si="11"/>
        <v>145.591669</v>
      </c>
      <c r="J52" s="76">
        <f>I52*(IF($J$3="Rockbiter",1+U3,1)+IF(AND($J$3="Rockbiter",$F$12),U3*U4,0))*IF($J$6,0.75,1)*IF($J$7,0.8,1)*IF($F$18,1.02,1)*IF($F$19,0.98,1)*(1+U5)</f>
        <v>107.0098767</v>
      </c>
      <c r="K52" s="18">
        <f t="shared" si="6"/>
        <v>0.08237998729</v>
      </c>
      <c r="L52" s="74"/>
      <c r="M52" s="74"/>
      <c r="N52" s="2"/>
      <c r="O52" s="75"/>
      <c r="P52" s="75"/>
    </row>
    <row r="53">
      <c r="A53" s="71" t="s">
        <v>222</v>
      </c>
      <c r="B53" s="78">
        <v>3.5</v>
      </c>
      <c r="C53" s="2">
        <f t="shared" ref="C53:C54" si="12">$H$7</f>
        <v>4</v>
      </c>
      <c r="D53" s="81">
        <v>0.267</v>
      </c>
      <c r="E53" s="73"/>
      <c r="F53" s="74">
        <f>(198+($N$15*$D$53))*(1+(D17*0.05))*(1+(D9*0.01))*IF(J26,1.15,1)*IF($H$20,1+(0.1*H67),1)*IF(J23,1+U9,1)</f>
        <v>591.2744747</v>
      </c>
      <c r="G53" s="74">
        <f>(198+($N$15*$D$53))*(1+(D17*0.05))*(1+(D9*0.01))*IF(J26,1.15,1)*IF($H$20,1+(0.1*H67),1)*IF(J23,1+U9,1)</f>
        <v>591.2744747</v>
      </c>
      <c r="H53" s="74">
        <f>F53*((1-$P$14*0.0025)*$P$13)</f>
        <v>555.7980062</v>
      </c>
      <c r="I53" s="75">
        <f>IF(H6,H53/H7,0)</f>
        <v>0</v>
      </c>
      <c r="J53" s="76">
        <f>I53*(IF($J$3="Rockbiter",1+U3,1)+IF(AND($J$3="Rockbiter",$F$12),U3*U4,0))*IF($J$6,0.75,1)*IF($J$7,0.8,1)*IF($F$18,1.02,1)*IF($F$19,0.98,1)*(1+U5)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  <c r="O53" s="75"/>
      <c r="P53" s="75"/>
    </row>
    <row r="54">
      <c r="A54" s="13" t="s">
        <v>223</v>
      </c>
      <c r="B54" s="78">
        <v>3.5</v>
      </c>
      <c r="C54" s="2">
        <f t="shared" si="12"/>
        <v>4</v>
      </c>
      <c r="D54" s="7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IF(J2="Lightning",0,65/H7)</f>
        <v>0</v>
      </c>
      <c r="K54" s="86" t="s">
        <v>224</v>
      </c>
      <c r="L54" s="80">
        <v>-130.0</v>
      </c>
      <c r="M54" s="74">
        <f>-130/H7</f>
        <v>-32.5</v>
      </c>
      <c r="N54" s="2"/>
      <c r="O54" s="186"/>
      <c r="P54" s="186"/>
    </row>
    <row r="55">
      <c r="A55" s="87" t="s">
        <v>225</v>
      </c>
      <c r="B55" s="78">
        <v>2.2</v>
      </c>
      <c r="C55" s="71">
        <f>2.2*(1-D16*0.1)+0.1</f>
        <v>1.86</v>
      </c>
      <c r="D55" s="77">
        <v>0.167</v>
      </c>
      <c r="E55" s="73"/>
      <c r="F55" s="74">
        <f>(40+(D55*$N$16))*(1+($D$14*0.05))*(1+(IF(J3="Flametongue",($D$12*0.1),0)))*(1+($D$17*0.05))*(1+($D$9*0.01))*IF($H$18,1.1,1)*IF($H$19,1.15,1)*IF($H$20,1+(0.1*H67),1)</f>
        <v>381.9752459</v>
      </c>
      <c r="G55" s="74">
        <f>(54+(D55*$N$16))*(1+($D$14*0.05))*(1+(IF(J3="Flametongue",($D$12*0.1),0)))*(1+($D$17*0.05))*(1+($D$9*0.01))*IF($H$18,1.1,1)*IF($H$19,1.15,1)*IF($H$20,1+(0.1*H67),1)</f>
        <v>413.6399032</v>
      </c>
      <c r="H55" s="80">
        <f t="shared" ref="H55:H57" si="13">(AVERAGE(F55,G55))*(($N$17+$U$8)*(1.5+($D$17*0.25)))+(AVERAGE(F55,G55))*((MIN(IF($H$3=63,0.83+$N$18,0.96+$N$18-(($H$3-60)*0.01)),0.99))-($N$17+$U$8))*((1-$P$15*0.0025)*$P$13)</f>
        <v>474.4041929</v>
      </c>
      <c r="I55" s="75">
        <f>IF(J4="Searing",H55/C55,0)+IF(J4="Nova+Searing",((H55*(ROUNDDOWN((15-(4-D16))/C55,0)))/15),0)</f>
        <v>189.7616772</v>
      </c>
      <c r="J55" s="80">
        <f>(H55/C55)*(IF($J$3="Rockbiter",1+U3,1)+IF(AND($J$3="Rockbiter",$F$12),U3*U4,0))*IF($J$6,0.7,1)*IF($J$7,0.8,1)*IF($F$18,1.02,1)*IF($F$19,0.98,1)*(0+U2)*(1+U5)</f>
        <v>0</v>
      </c>
      <c r="K55" s="18">
        <f>IF(J4="Searing",I55/$B$23,0)+IF(J4="Nova+Searing",I55/B23,0)</f>
        <v>0.1073726585</v>
      </c>
      <c r="L55" s="80">
        <v>170.0</v>
      </c>
      <c r="M55" s="74">
        <f>L55/55</f>
        <v>3.090909091</v>
      </c>
      <c r="N55" s="2"/>
      <c r="O55" s="75"/>
      <c r="P55" s="75"/>
    </row>
    <row r="56">
      <c r="A56" s="87" t="s">
        <v>226</v>
      </c>
      <c r="B56" s="78">
        <v>2.0</v>
      </c>
      <c r="C56" s="71">
        <v>2.0</v>
      </c>
      <c r="D56" s="77">
        <v>0.0333</v>
      </c>
      <c r="E56" s="73"/>
      <c r="F56" s="74">
        <f>(75+(D56*$N$16))*(1+($D$14*0.05))*(1+(IF(J3="Flametongue",($D$12*0.1),0)))*(1+($D$17*0.05))*(1+($D$9*0.01))*IF($H$18,1.1,1)*IF($H$19,1.15,1)*IF($H$20,1+(0.1*H67),1)</f>
        <v>227.7584983</v>
      </c>
      <c r="G56" s="74">
        <f>(75+(D56*$N$16))*(1+($D$14*0.05))*(1+(IF(J3="Flametongue",($D$12*0.1),0)))*(1+($D$17*0.05))*(1+($D$9*0.01))*IF($H$18,1.1,1)*IF($H$19,1.15,1)*IF($H$20,1+(0.1*H67),1)</f>
        <v>227.7584983</v>
      </c>
      <c r="H56" s="80">
        <f t="shared" si="13"/>
        <v>271.6126929</v>
      </c>
      <c r="I56" s="75">
        <f>IF(J4="Magma",(H56/C56)*H4,0)+IF(J4="Nova+Magma",((H56*(ROUNDDOWN((15-(4-D16))/C56,0)))/15)*H4,0)</f>
        <v>0</v>
      </c>
      <c r="J56" s="80">
        <f>(H56/C56)*(IF($J$3="Rockbiter",1+U3,1)+IF(AND($J$3="Rockbiter",$F$12),U3*U4,0))*IF($J$6,0.7,1)*IF($J$7,0.8,1)*IF($F$18,1.02,1)*IF($F$19,0.98,1)*(0+U2)*(1+U5)*(1-D16*0.25)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  <c r="O56" s="75"/>
      <c r="P56" s="75"/>
    </row>
    <row r="57">
      <c r="A57" s="87" t="s">
        <v>227</v>
      </c>
      <c r="B57" s="78">
        <v>4.0</v>
      </c>
      <c r="C57" s="71">
        <f>15</f>
        <v>15</v>
      </c>
      <c r="D57" s="81">
        <v>0.143</v>
      </c>
      <c r="E57" s="73"/>
      <c r="F57" s="74">
        <f>(413+(D57*$N$16))*(1+($D$14*0.05))*(1+(IF(J3="Flametongue",($D$12*0.1),0)))*(1+($D$17*0.05))*(1+($D$9*0.01))*IF($H$18,1.1,1)*IF($H$19,1.15,1)*IF($H$20,1+(0.1*H67),1)</f>
        <v>1183.719283</v>
      </c>
      <c r="G57" s="74">
        <f>(459+(D57*$N$16))*(1+($D$14*0.05))*(1+(IF(J3="Flametongue",($D$12*0.1),0)))*(1+($D$17*0.05))*(1+($D$9*0.01))*IF($H$18,1.1,1)*IF($H$19,1.15,1)*IF($H$20,1+(0.1*H67),1)</f>
        <v>1287.760299</v>
      </c>
      <c r="H57" s="80">
        <f t="shared" si="13"/>
        <v>1473.677666</v>
      </c>
      <c r="I57" s="75">
        <f>IF(J4="Nova",(H57/C57)*H4,0)+IF(J4="Nova+Magma",(H57/C57)*H4,0)+IF(J4="Nova+Searing",(H57/C57)*H4,0)</f>
        <v>98.24517777</v>
      </c>
      <c r="J57" s="80">
        <f>(H57/C57)*(IF($J$3="Rockbiter",1+U3,1)+IF(AND($J$3="Rockbiter",$F$12),U3*U4,0))*IF($J$6,0.7,1)*IF($J$7,0.8,1)*IF($F$18,1.02,1)*IF($F$19,0.98,1)*(0+U2)*(1+U5)</f>
        <v>0</v>
      </c>
      <c r="K57" s="18">
        <f t="shared" ref="K57:K59" si="14">I57/$B$23</f>
        <v>0.05558996989</v>
      </c>
      <c r="L57" s="80">
        <v>525.0</v>
      </c>
      <c r="M57" s="74">
        <f>L57/15</f>
        <v>35</v>
      </c>
      <c r="N57" s="2"/>
      <c r="O57" s="75"/>
      <c r="P57" s="75"/>
    </row>
    <row r="58">
      <c r="A58" s="87" t="s">
        <v>228</v>
      </c>
      <c r="B58" s="78">
        <v>2.0</v>
      </c>
      <c r="C58" s="71">
        <v>1.5</v>
      </c>
      <c r="D58" s="89"/>
      <c r="E58" s="90"/>
      <c r="F58" s="80">
        <v>0.0</v>
      </c>
      <c r="G58" s="80">
        <v>0.0</v>
      </c>
      <c r="H58" s="80">
        <v>0.0</v>
      </c>
      <c r="I58" s="75"/>
      <c r="J58" s="74">
        <f>IF(J5,((150/C58)*(IF($J$3="Rockbiter",1+U3,1)+IF(AND($J$3="Rockbiter",$F$12),U3*U4,0))*IF($J$6,0.7,1)*IF($J$7,0.8,1)*IF($F$18,1.02,1)*IF($F$19,0.98,1)*(0+U2)*(1+U5)*MIN(IF($H$3=63,0.83+$N$18,0.96+$N$18-(($H$3-60)*0.01)),0.99))*H4,0)</f>
        <v>0</v>
      </c>
      <c r="K58" s="18">
        <f t="shared" si="14"/>
        <v>0</v>
      </c>
      <c r="L58" s="80">
        <v>140.0</v>
      </c>
      <c r="M58" s="74"/>
      <c r="N58" s="2"/>
      <c r="O58" s="75"/>
      <c r="P58" s="75"/>
    </row>
    <row r="59">
      <c r="A59" s="71" t="s">
        <v>229</v>
      </c>
      <c r="B59" s="92"/>
      <c r="D59" s="93" t="s">
        <v>230</v>
      </c>
      <c r="E59" s="94"/>
      <c r="F59" s="75"/>
      <c r="G59" s="75"/>
      <c r="H59" s="75"/>
      <c r="I59" s="75">
        <f>IF(F23,C67,0)+IF(F22,C66,0)+IF(F24,C68,0)+IF(F9,C69,0)+IF(F25,C70,0)+IF(L23,D112,0)+IF(F26="Molten Blast",E119,0)+IF(F26="Lightning Bolt",E116,0)+IF(G86,D86,0)</f>
        <v>17.89582006</v>
      </c>
      <c r="J59" s="75">
        <f>I59*(IF($J$3="Rockbiter",1+U3,1)+IF(AND($J$3="Rockbiter",$F$12),U3*U4,0))*IF($J$6,0.75,1)*IF($J$7,0.8,1)*IF($F$18,1.02,1)*IF($F$19,0.98,1)*(1+U5)</f>
        <v>13.15342774</v>
      </c>
      <c r="K59" s="18">
        <f t="shared" si="14"/>
        <v>0.01012597382</v>
      </c>
      <c r="L59" s="75"/>
      <c r="M59" s="75"/>
      <c r="O59" s="75"/>
      <c r="P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(($H$43/$C$43))+IF($J$3="Flametongue",(H45/C45)+(H45/C46)+(H45/C49),0)+(IF($J$3="Windfury",$H$44*$P$19*2/60,0)+(($H$46+$H$47)/$C$46)+($H$49/$C$49))+IF(J3="Frostbrand",D89,0)</f>
        <v>854.1255027</v>
      </c>
      <c r="D61" s="103">
        <f>$H$50*2/15</f>
        <v>230.0389196</v>
      </c>
      <c r="E61" s="103">
        <f>IF($H$6,IF($J$2="Lightning",$H$53/$H$7,0),0)+IF(J2="Lightning",I48,0)+(($H$51+$H$52)/15)+IF(F22,C66,0)+IF(F23,C67,0)+IF(F9,IF(H6,C69,0),0)+IF(F24,C68,0)+IF(F25,C70,0)+IF(G86,D86,0)+IF(L23,D112,0)+IF(F26="Molten Blast",E119,0)+IF(F26="Lightning Bolt",E116,0)</f>
        <v>395.1471429</v>
      </c>
      <c r="F61" s="103">
        <f>IF(J4="Magma",I56,0)+IF($J$4="Searing",I55,0)+IF($J$4="Nova",I57,0)+B76+B77</f>
        <v>288.0068549</v>
      </c>
      <c r="G61" s="103">
        <f>SUM(C61,D61,E61,F61)</f>
        <v>1767.31842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$22,$C$66,0)+IF($F$23,$C$67,0)+IF($F$24,$C$68,0)+IF(J4="Nova",H57/C57,0)+B76+B77+IF(H6,IF(F9,C69,0),0)</f>
        <v>1760.434573</v>
      </c>
      <c r="I61" s="103">
        <f>((C61*(1-$U$7))+(D61*1.5)+E61+(F61*($D$4*0.45)))*((IF($J$3="Rockbiter",1+$U$3,1)+IF(AND($J$3="Rockbiter",$F$12),$U$3*$U$4,0))*(1+$U$5)*IF($J$6,0.75,1)*IF($J$7,0.8,1)*IF($F$18,1.02,1)*IF($F$19,0.98,1))+IF(J5,J58,0)</f>
        <v>1171.833303</v>
      </c>
      <c r="J61" s="103"/>
      <c r="K61" s="103">
        <f>M46+M49+(L50*2/15)+(L51/15)+IF(AND(H6,J2="Lightning"),(L53*((60/H7)/9))/60,0)+IF(J2="Lightning",(L53*(60/C46))/60,0)+IF(J4="Searing",M55,0)+IF(J4="Magma",M56,0)+IF(J4="Nova",M57,0)+IF(J4="Nova+Searing",(L57+L55)/15,0)+IF(J4="Nova+Magma",(L57+L56)/15,0)+IF(J22,100/60,0)</f>
        <v>146.5059248</v>
      </c>
      <c r="L61" s="103">
        <f>N14/K61</f>
        <v>100.2064218</v>
      </c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(($H$43/$C$43))+IF($J$3="Flametongue",(H45/C45)+(H45/C46)+(H45/C49),0)+(IF($J$3="Windfury",$H$44*$P$19*2/60,0)+(($H$46+$H$47)/$C$46)+($H$49/$C$49))+IF(J3="Frostbrand",D89,0)</f>
        <v>854.1255027</v>
      </c>
      <c r="D62" s="103">
        <f>$H$50/5</f>
        <v>345.0583794</v>
      </c>
      <c r="E62" s="103">
        <f>IF($H$6,IF($J$2="Lightning",$H$53/$H$7,0),0)+IF(J2="Lightning",I48,0)+IF(F22,C66,0)+IF(F23,C67,0)+IF(F9,IF(H6,C69,0),0)+IF(F25,C70,0)+IF(G86,D86,0)+IF(L23,D112,0)+IF(F26="Molten Blast",E119,0)+IF(F26="Lightning Bolt",E116,0)</f>
        <v>139.4306824</v>
      </c>
      <c r="F62" s="103">
        <f>IF(J4="Magma",I56,0)+IF($J$4="Searing",I55,0)+IF($J$4="Nova",I57,0)+B76+B77</f>
        <v>288.0068549</v>
      </c>
      <c r="G62" s="103">
        <f>C62+D62+E62+F62</f>
        <v>1626.621419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$22,$C$66,0)+IF($F$23,$C$67,0)+IF($F$24,$C$68,0)+IF(J4="Nova",H57/C57,0)+B76+B77+IF(H6,IF(F9,C69,0),0)</f>
        <v>1619.737573</v>
      </c>
      <c r="I62" s="103">
        <f>((C62*(1-$U$7))+(D62*1.5)+E62+(F62*($D$4*0.45)))*((IF($J$3="Rockbiter",1+$U$3,1)+IF(AND($J$3="Rockbiter",$F$12),$U$3*$U$4,0))*(1+$U$5)*IF($J$6,0.75,1)*IF($J$7,0.8,1)*IF($F$18,1.02,1)*IF($F$19,0.98,1))+IF(J5,J58,0)</f>
        <v>1110.690659</v>
      </c>
      <c r="J62" s="103"/>
      <c r="K62" s="103">
        <f>M46+M49+(L50/5)+IF(AND(H6,J2="Lightning"),(L53*((60/H7)/9))/60,0)+IF(J2="Lightning",(L53*(60/C46))/60,0)+IF(J4="Searing",M55,0)+IF(J4="Magma",M56,0)+IF(J4="Nova",M57,0)+IF(J4="Nova+Searing",(L57+L55)/15,0)+IF(J4="Nova+Magma",(L57+L56)/15,0)+IF(J22,100/60,0)</f>
        <v>149.0659248</v>
      </c>
      <c r="L62" s="103">
        <f>N14/K62</f>
        <v>98.48551579</v>
      </c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742.9706085</v>
      </c>
      <c r="C66" s="112">
        <f>(B66*((((60/C43)+(60/C46)+(60/C49)+IF(J3="Windfury",60/C44,0))*1-$P$2)*0.185))/60</f>
        <v>78.3890264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1281.4413</v>
      </c>
      <c r="C67" s="103">
        <f>(B67*((((60/C43)+(60/C46)+(60/C49)+IF(J3="Windfury",60/C44,0))*(1-P2))*0.08633)/60)</f>
        <v>59.65605312</v>
      </c>
      <c r="D67" s="113"/>
      <c r="E67" s="18">
        <f>1/(60/F4)</f>
        <v>0.06</v>
      </c>
      <c r="F67" s="2"/>
      <c r="G67" s="8" t="s">
        <v>248</v>
      </c>
      <c r="H67" s="88">
        <f>1-EXP(-((H66*(1-SUM(P2:P3))/C43)+IF(J3="Windfury",(H66*(1-SUM(P2:P3))/C44),0)+(H66*(1-SUM(P2:P3))/C46)+(H66*(1-SUM(P2:P3))/C49))*7)</f>
        <v>0.3545935061</v>
      </c>
      <c r="I67" s="2"/>
      <c r="J67" s="71" t="s">
        <v>249</v>
      </c>
      <c r="K67" s="114">
        <f>1.2/(60/3.4)</f>
        <v>0.068</v>
      </c>
      <c r="L67" s="2"/>
      <c r="M67" s="71" t="s">
        <v>357</v>
      </c>
      <c r="N67" s="8" t="s">
        <v>358</v>
      </c>
    </row>
    <row r="68">
      <c r="A68" s="8" t="s">
        <v>250</v>
      </c>
      <c r="B68" s="103">
        <f>250*(1-P12)*(1+P10)*IF(H13,1.04,1)</f>
        <v>331.2383974</v>
      </c>
      <c r="C68" s="103">
        <f>((B68/C43)*K67+(B68/C46)*K67+(B68/C49)*K67+IF(J3="Windfury",(B68/C44)*K67,0))*(1-SUM(P2:P3))</f>
        <v>12.14629002</v>
      </c>
      <c r="D68" s="113"/>
      <c r="E68" s="113"/>
      <c r="F68" s="2"/>
      <c r="G68" s="2"/>
      <c r="H68" s="2"/>
      <c r="K68" s="2"/>
      <c r="L68" s="2"/>
      <c r="M68" s="2"/>
      <c r="N68" s="8" t="s">
        <v>359</v>
      </c>
    </row>
    <row r="69">
      <c r="A69" s="8" t="s">
        <v>251</v>
      </c>
      <c r="B69" s="112">
        <f>((25+33)/2)*(1+(D9*0.01))*IF(H18,1.1,1)*IF(H20,1.1,1)*(1+($N$17/2))*(0.83+$N$18)*$P$13*(H4)</f>
        <v>36.77215505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71" t="s">
        <v>360</v>
      </c>
      <c r="N69" s="8">
        <v>65.67</v>
      </c>
      <c r="Q69" s="8" t="s">
        <v>361</v>
      </c>
    </row>
    <row r="70">
      <c r="A70" s="8" t="s">
        <v>252</v>
      </c>
      <c r="B70" s="103">
        <f>(((175+250)/2)+((N15-55)*0.25))*(1-SUM(P2:P3))*(P13)*(1+(N17/2))*(0.83+N18)</f>
        <v>361.4922547</v>
      </c>
      <c r="C70" s="103">
        <f>((B70/C43)*K66+(B70/C46)*K66+(B70/C49)*K66+IF(J3="Windfury",(B70/C44)*K66,0))*(1-SUM(P2:P3))</f>
        <v>14.03542449</v>
      </c>
      <c r="D70" s="90"/>
      <c r="U70" s="8" t="s">
        <v>362</v>
      </c>
      <c r="V70" s="8" t="s">
        <v>363</v>
      </c>
      <c r="W70" s="8" t="s">
        <v>364</v>
      </c>
      <c r="X70" s="8" t="s">
        <v>365</v>
      </c>
      <c r="Y70" s="8" t="s">
        <v>366</v>
      </c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  <c r="Q71" s="8" t="s">
        <v>367</v>
      </c>
      <c r="R71" s="8" t="s">
        <v>368</v>
      </c>
      <c r="T71" s="8" t="s">
        <v>369</v>
      </c>
      <c r="U71" s="8">
        <v>44.0</v>
      </c>
      <c r="V71" s="8">
        <v>30.0</v>
      </c>
      <c r="W71" s="8">
        <v>36.0</v>
      </c>
      <c r="X71" s="8">
        <v>2.0</v>
      </c>
      <c r="Y71" s="8">
        <v>1.0</v>
      </c>
    </row>
    <row r="72">
      <c r="A72" s="75">
        <f>((60/C45)+(60/C46)+(60/C49))*(0.83+$N$18)*(1-$P$2)</f>
        <v>31.48674916</v>
      </c>
      <c r="B72" s="186">
        <v>0.0</v>
      </c>
      <c r="C72" s="75">
        <f>(60/C46)*(1-P2)</f>
        <v>6.293333333</v>
      </c>
      <c r="D72" s="75">
        <f>(60/5)*(0.83+$N$18)</f>
        <v>11.67787335</v>
      </c>
      <c r="E72" s="75">
        <f>IF($F$23,$A$72*0.08,0)</f>
        <v>0</v>
      </c>
      <c r="F72" s="75">
        <f>$A$72*($F$28*1)</f>
        <v>31.48674916</v>
      </c>
      <c r="G72" s="75">
        <f>SUM(A72:E72)</f>
        <v>49.45795584</v>
      </c>
      <c r="H72" s="75">
        <f>SUM(A72:F72)</f>
        <v>80.944705</v>
      </c>
      <c r="K72" s="2"/>
      <c r="L72" s="2"/>
      <c r="Q72" s="8" t="s">
        <v>370</v>
      </c>
      <c r="R72" s="8" t="s">
        <v>371</v>
      </c>
      <c r="T72" s="8" t="s">
        <v>372</v>
      </c>
      <c r="U72" s="8">
        <v>52.0</v>
      </c>
      <c r="V72" s="8">
        <v>38.0</v>
      </c>
      <c r="W72" s="8">
        <v>31.0</v>
      </c>
      <c r="X72" s="8">
        <v>2.0</v>
      </c>
      <c r="Y72" s="8">
        <v>1.0</v>
      </c>
    </row>
    <row r="73">
      <c r="Q73" s="8" t="s">
        <v>373</v>
      </c>
      <c r="R73" s="8" t="s">
        <v>374</v>
      </c>
      <c r="U73" s="88">
        <f t="shared" ref="U73:W73" si="15">U71-U72</f>
        <v>-8</v>
      </c>
      <c r="V73" s="88">
        <f t="shared" si="15"/>
        <v>-8</v>
      </c>
      <c r="W73" s="88">
        <f t="shared" si="15"/>
        <v>5</v>
      </c>
    </row>
    <row r="74">
      <c r="Q74" s="8" t="s">
        <v>375</v>
      </c>
      <c r="R74" s="8" t="s">
        <v>376</v>
      </c>
    </row>
    <row r="75">
      <c r="A75" s="47" t="s">
        <v>261</v>
      </c>
      <c r="B75" s="47" t="s">
        <v>242</v>
      </c>
      <c r="C75" s="116"/>
      <c r="Q75" s="8" t="s">
        <v>377</v>
      </c>
      <c r="R75" s="8" t="s">
        <v>378</v>
      </c>
    </row>
    <row r="76">
      <c r="A76" s="117" t="s">
        <v>262</v>
      </c>
      <c r="B76" s="118">
        <f>IF(J4="Nova+Searing",((H57/15)+((H55*(ROUNDDOWN((15-(4-D16))/C55,0)))/15))*H4,0)</f>
        <v>288.0068549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 t="s">
        <v>379</v>
      </c>
      <c r="R76" s="8" t="s">
        <v>380</v>
      </c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  <c r="Q77" s="8" t="s">
        <v>381</v>
      </c>
      <c r="R77" s="8" t="s">
        <v>382</v>
      </c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  <c r="Q81" s="8" t="s">
        <v>372</v>
      </c>
      <c r="R81" s="8" t="s">
        <v>369</v>
      </c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  <c r="Q82" s="8">
        <f>12.192+7.81+5.072+3.032+3.448</f>
        <v>31.554</v>
      </c>
      <c r="R82" s="8">
        <f>33.23+0.805</f>
        <v>34.035</v>
      </c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B85" s="8" t="s">
        <v>266</v>
      </c>
      <c r="C85" s="71" t="s">
        <v>229</v>
      </c>
      <c r="D85" s="187" t="s">
        <v>163</v>
      </c>
      <c r="E85" s="187" t="s">
        <v>267</v>
      </c>
      <c r="F85" s="71" t="s">
        <v>268</v>
      </c>
      <c r="G85" s="71" t="s">
        <v>269</v>
      </c>
      <c r="H85" s="71"/>
      <c r="I85" s="126"/>
      <c r="J85" s="126"/>
      <c r="K85" s="71"/>
      <c r="L85" s="2"/>
      <c r="M85" s="2"/>
      <c r="O85" s="18"/>
    </row>
    <row r="86">
      <c r="A86" s="71" t="s">
        <v>270</v>
      </c>
      <c r="B86" s="80">
        <f>(250+(N16*0.4286))*IF(J3="Flametongue",1.3,1)*(1+(D17*0.05))*IF(H19,1.15,1)*IF(H18,1.1,1)*IF(H20,1.05,1)</f>
        <v>1103.125427</v>
      </c>
      <c r="C86" s="80">
        <f>IF(AND(J3="Flametongue",F28=0),A72*0.2,0)+IF(AND(J3="Flametongue",F28=1),A72*0.36,0)+IF(AND(J3="Flametongue",F28=2),A72*0.488,0)+IF(AND(J3="Flametongue",F28=3),A72*0.5904,0)+D72*0.2</f>
        <v>13.67080437</v>
      </c>
      <c r="D86" s="188">
        <f>(B86*C86/60)*(0.83+N18)*P13*((1-$P$15*0.0025))</f>
        <v>229.9207045</v>
      </c>
      <c r="E86" s="189">
        <f>(B86*C86/60)*(1-(F86*0.0025))*(0.88)</f>
        <v>118.8854905</v>
      </c>
      <c r="F86" s="71">
        <v>185.0</v>
      </c>
      <c r="G86" s="53" t="b"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B88" s="8" t="s">
        <v>266</v>
      </c>
      <c r="C88" s="71" t="s">
        <v>279</v>
      </c>
      <c r="D88" s="187" t="s">
        <v>163</v>
      </c>
      <c r="E88" s="73"/>
      <c r="F88" s="71"/>
      <c r="G88" s="71" t="s">
        <v>383</v>
      </c>
      <c r="H88" s="71"/>
      <c r="I88" s="134"/>
      <c r="J88" s="126"/>
      <c r="K88" s="71"/>
      <c r="L88" s="2"/>
      <c r="M88" s="2"/>
      <c r="O88" s="18"/>
    </row>
    <row r="89">
      <c r="A89" s="13" t="s">
        <v>384</v>
      </c>
      <c r="B89" s="88">
        <f>((186+187)/2+(N15-55)*0.43)*IF(G89,2,1+(N17))*(0.83+N18)*P13*IF(H18,1.1,1)*IF(H20,1.1,1)</f>
        <v>629.2616345</v>
      </c>
      <c r="C89" s="190">
        <f>(9/(60/F4))+0.25</f>
        <v>0.79</v>
      </c>
      <c r="D89" s="188">
        <f>(B89*A72/60*C89)*(1-SUM(P2:P3))*1.1</f>
        <v>270.8941327</v>
      </c>
      <c r="E89" s="73"/>
      <c r="F89" s="135"/>
      <c r="G89" s="53" t="b">
        <v>0</v>
      </c>
      <c r="H89" s="2"/>
      <c r="I89" s="126"/>
      <c r="J89" s="106"/>
      <c r="K89" s="71"/>
      <c r="L89" s="2"/>
      <c r="M89" s="2"/>
      <c r="O89" s="18"/>
    </row>
    <row r="90">
      <c r="A90" s="87"/>
      <c r="B90" s="88">
        <f>((186+187)/2+(N15-55)*0.43)*IF(G89,2,1+(N17))*(0.83+N18)*P13*IF(H18,1.1,1)*IF(H20,1.1,1)</f>
        <v>629.2616345</v>
      </c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IF(F16,((H48/C48)+(H48/C43)*0.15+(H48/C46)*0.15+(H48/C49)*0.15)*(1-P2),(H48/C48)*(1-P2))</f>
        <v>121.5348624</v>
      </c>
      <c r="D93" s="137"/>
      <c r="E93" s="94"/>
    </row>
    <row r="94">
      <c r="B94" s="8" t="s">
        <v>273</v>
      </c>
      <c r="C94" s="88">
        <f>IF(H6,H53/H7,0)+IF(AND(J2="Lightning",F16),((H53/C43)*0.15+(H53/C46)*0.15+(H53/C49)*0.15)*(1-P2),0)</f>
        <v>0</v>
      </c>
    </row>
    <row r="96">
      <c r="E96" s="88">
        <f>(20.611+7.0588+8)*C89*B89/60</f>
        <v>295.5342159</v>
      </c>
    </row>
    <row r="97">
      <c r="A97" s="8" t="s">
        <v>122</v>
      </c>
      <c r="B97" s="8" t="s">
        <v>274</v>
      </c>
    </row>
    <row r="100">
      <c r="A100" s="8" t="s">
        <v>385</v>
      </c>
      <c r="B100" s="8">
        <v>1549.0</v>
      </c>
    </row>
    <row r="101">
      <c r="A101" s="8" t="s">
        <v>386</v>
      </c>
      <c r="B101" s="8">
        <v>1543.0</v>
      </c>
    </row>
    <row r="102">
      <c r="A102" s="8" t="s">
        <v>387</v>
      </c>
      <c r="B102" s="8">
        <v>1532.0</v>
      </c>
    </row>
    <row r="103">
      <c r="A103" s="8" t="s">
        <v>388</v>
      </c>
      <c r="B103" s="8">
        <v>1519.0</v>
      </c>
    </row>
    <row r="104">
      <c r="A104" s="8" t="s">
        <v>389</v>
      </c>
      <c r="B104" s="8">
        <v>1506.0</v>
      </c>
    </row>
    <row r="105">
      <c r="A105" s="8" t="s">
        <v>390</v>
      </c>
      <c r="B105" s="8">
        <v>1487.0</v>
      </c>
    </row>
    <row r="106">
      <c r="A106" s="8" t="s">
        <v>391</v>
      </c>
      <c r="B106" s="8">
        <v>1486.0</v>
      </c>
    </row>
    <row r="107">
      <c r="A107" s="8" t="s">
        <v>392</v>
      </c>
      <c r="B107" s="8">
        <v>1451.0</v>
      </c>
    </row>
    <row r="109">
      <c r="B109" s="8" t="s">
        <v>393</v>
      </c>
      <c r="C109" s="8" t="s">
        <v>163</v>
      </c>
      <c r="D109" s="8" t="s">
        <v>394</v>
      </c>
      <c r="E109" s="8" t="s">
        <v>395</v>
      </c>
      <c r="F109" s="8" t="s">
        <v>396</v>
      </c>
    </row>
    <row r="110">
      <c r="A110" s="8" t="s">
        <v>397</v>
      </c>
      <c r="B110" s="8">
        <v>4.293</v>
      </c>
      <c r="C110" s="8">
        <v>28.0</v>
      </c>
      <c r="D110" s="8">
        <v>33.6</v>
      </c>
      <c r="E110" s="75">
        <f>B110+C110/L35</f>
        <v>49.3087536</v>
      </c>
      <c r="F110" s="172">
        <f>B110+D110/L35</f>
        <v>58.31190432</v>
      </c>
    </row>
    <row r="111">
      <c r="B111" s="8" t="s">
        <v>275</v>
      </c>
      <c r="C111" s="8" t="s">
        <v>229</v>
      </c>
      <c r="D111" s="8" t="s">
        <v>163</v>
      </c>
      <c r="E111" s="8" t="s">
        <v>276</v>
      </c>
      <c r="F111" s="8" t="s">
        <v>277</v>
      </c>
    </row>
    <row r="112">
      <c r="A112" s="8" t="s">
        <v>278</v>
      </c>
      <c r="B112" s="88">
        <f>(65+N16*0.33)*IF(J3="Flametongue",1.3,1)*(1+(0.05*D12))*(1+(N17/2))*(0.83+N18)*P13*(1-SUM(P2:P3))*IF(H18,1.1,1)*IF(H19,1.15,1)*IF(H20,1.1,1)</f>
        <v>626.5554832</v>
      </c>
      <c r="C112" s="88">
        <f>(60/C43)*0.05+(60/C46)*0.05+(60/C49)*0.05+IF(J3="Windfury",(60/C44)*0.05,0)</f>
        <v>1.713733631</v>
      </c>
      <c r="D112" s="88">
        <f>(B112*C112)/60</f>
        <v>17.89582006</v>
      </c>
      <c r="E112" s="88">
        <f>0.33*IF(J3="Flametongue",1.3,1)*(1+(0.05*D12))*(1+(N17/2))*(0.83+N18)*P13*(1-SUM(P2:P3))*IF(H18,1.1,1)*IF(H19,1.15,1)*IF(H20,1.1,1)</f>
        <v>0.6467802545</v>
      </c>
      <c r="F112" s="88">
        <f>(E112*C112)/60</f>
        <v>0.01847348457</v>
      </c>
      <c r="K112" s="8" t="s">
        <v>398</v>
      </c>
      <c r="L112" s="8" t="s">
        <v>399</v>
      </c>
    </row>
    <row r="113">
      <c r="J113" s="8" t="s">
        <v>400</v>
      </c>
      <c r="K113" s="8">
        <v>1722.082</v>
      </c>
      <c r="L113" s="191">
        <v>0.0</v>
      </c>
    </row>
    <row r="114">
      <c r="J114" s="8" t="s">
        <v>401</v>
      </c>
      <c r="K114" s="191">
        <v>1722.1650912820105</v>
      </c>
      <c r="L114" s="192">
        <f>(K114-$K$113)/1</f>
        <v>0.08309128201</v>
      </c>
    </row>
    <row r="115">
      <c r="A115" s="8" t="s">
        <v>185</v>
      </c>
      <c r="B115" s="8" t="s">
        <v>275</v>
      </c>
      <c r="C115" s="8" t="s">
        <v>279</v>
      </c>
      <c r="D115" s="8" t="s">
        <v>280</v>
      </c>
      <c r="E115" s="8" t="s">
        <v>242</v>
      </c>
      <c r="J115" s="8" t="s">
        <v>402</v>
      </c>
      <c r="K115" s="191">
        <v>1722.9130380111583</v>
      </c>
      <c r="L115" s="192">
        <f>(K115-$K$113)/10</f>
        <v>0.08310380112</v>
      </c>
    </row>
    <row r="116">
      <c r="A116" s="8" t="s">
        <v>281</v>
      </c>
      <c r="B116" s="75">
        <f>(AVERAGE(450,501)+N15*(3/3.5))*1.05*1.1*1.1666*1.05*(1+(N17))*(0.83+N18)*P13</f>
        <v>1697.464498</v>
      </c>
      <c r="C116" s="88">
        <f t="shared" ref="C116:C118" si="16">2.4/(60/1.6)</f>
        <v>0.064</v>
      </c>
      <c r="D116" s="75">
        <f>C116*(60/C43+IF(J3="Windfury",60/C44,0)+60/C46+60/C49)*(1-P2)</f>
        <v>2.070738621</v>
      </c>
      <c r="E116" s="75">
        <f t="shared" ref="E116:E118" si="17">B116*D116/60</f>
        <v>58.58342155</v>
      </c>
      <c r="J116" s="8" t="s">
        <v>403</v>
      </c>
      <c r="K116" s="8">
        <v>1730.518</v>
      </c>
      <c r="L116" s="192">
        <f>(K116-$K$113)/100</f>
        <v>0.08436</v>
      </c>
    </row>
    <row r="117">
      <c r="A117" s="8" t="s">
        <v>282</v>
      </c>
      <c r="B117" s="75">
        <f>(AVERAGE(493,552)+N15*(2.5/3.5))*1.05*1.1*1.1666*1.05*(1+(N17))*(0.83+N18)*P13</f>
        <v>1607.694243</v>
      </c>
      <c r="C117" s="88">
        <f t="shared" si="16"/>
        <v>0.064</v>
      </c>
      <c r="D117" s="75">
        <f>C116*(60/C43+IF(J3="Windfury",60/C44,0)+60/C46+60/C49)*(1-P2)</f>
        <v>2.070738621</v>
      </c>
      <c r="E117" s="75">
        <f t="shared" si="17"/>
        <v>55.48524267</v>
      </c>
      <c r="J117" s="8" t="s">
        <v>404</v>
      </c>
      <c r="K117" s="191">
        <v>1767.3184201752579</v>
      </c>
      <c r="L117" s="192">
        <f>(K117-$K$113)/500</f>
        <v>0.09047284035</v>
      </c>
    </row>
    <row r="118">
      <c r="A118" s="12" t="s">
        <v>283</v>
      </c>
      <c r="B118" s="138">
        <f>(AVERAGE(290,332)+N16*(2/3.5))*(1+D9*0.01)*IF(J3="Flametongue",1+(D12*0.1),1)*(1+($D$14*0.05))*(1+($D$17*0.05))*IF($H$18,1.1,1)*IF($H$19,1.15,1)*IF($H$20,1+(0.1*H67),1)*IF(F16,1.1,1)*IF(J26,1.15,1)</f>
        <v>1700.857861</v>
      </c>
      <c r="C118" s="139">
        <f t="shared" si="16"/>
        <v>0.064</v>
      </c>
      <c r="D118" s="138">
        <f>C116*(60/C43+IF(J3="Windfury",60/C44,0)+60/C46+60/C49)*(1-P2)</f>
        <v>2.070738621</v>
      </c>
      <c r="E118" s="138">
        <f t="shared" si="17"/>
        <v>58.70053436</v>
      </c>
    </row>
    <row r="119">
      <c r="A119" s="12" t="s">
        <v>284</v>
      </c>
      <c r="B119" s="138">
        <f>((G52*5)*(0.83+N18)*(1+N17/(2-D17*0.5)))*B120*(0.3*(D19)+IF(B121,0.2,0))*(0.83+N18)*(P13-0.0025*P15)*IF(J3="Flametongue",1+0.1*D12,1)*(1+0.05*D17)*(1+0.05*D14)*(1+0.01*D9)*IF(H18,1.1,1)*IF(H19,1.15,1)*IF(H20,1.05,1)</f>
        <v>1728.513932</v>
      </c>
      <c r="C119" s="4"/>
      <c r="D119" s="4"/>
      <c r="E119" s="138">
        <f>E118+(B119*D118/60)</f>
        <v>118.3555436</v>
      </c>
    </row>
    <row r="120">
      <c r="A120" s="4" t="s">
        <v>285</v>
      </c>
      <c r="B120" s="140">
        <v>0.6</v>
      </c>
      <c r="C120" s="4"/>
      <c r="D120" s="4"/>
      <c r="E120" s="141"/>
    </row>
    <row r="121">
      <c r="A121" s="8" t="s">
        <v>286</v>
      </c>
      <c r="B121" s="9" t="b">
        <v>1</v>
      </c>
      <c r="E121" s="75"/>
    </row>
    <row r="122">
      <c r="E122" s="75"/>
    </row>
    <row r="125">
      <c r="E125" s="75"/>
    </row>
    <row r="126">
      <c r="E126" s="75"/>
    </row>
    <row r="134">
      <c r="F134" s="42"/>
      <c r="H134" s="42"/>
    </row>
    <row r="135">
      <c r="F135" s="42"/>
      <c r="H135" s="42"/>
    </row>
    <row r="136">
      <c r="F136" s="42"/>
      <c r="H136" s="42"/>
    </row>
    <row r="137">
      <c r="F137" s="42"/>
      <c r="H137" s="42"/>
    </row>
    <row r="138">
      <c r="F138" s="42"/>
      <c r="H138" s="42"/>
    </row>
    <row r="139">
      <c r="F139" s="42"/>
      <c r="H139" s="42"/>
    </row>
  </sheetData>
  <dataValidations>
    <dataValidation type="list" allowBlank="1" showErrorMessage="1" sqref="J3">
      <formula1>"Rockbiter,Windfury,Flametongue,Frostbrand"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F26">
      <formula1>"None,Molten Blast,Lightning Bolt"</formula1>
    </dataValidation>
    <dataValidation type="list" allowBlank="1" showErrorMessage="1" sqref="J2">
      <formula1>"Water,Lightning"</formula1>
    </dataValidation>
    <dataValidation type="list" allowBlank="1" showErrorMessage="1" sqref="D4 D7 D16:D19">
      <formula1>"0,1,2"</formula1>
    </dataValidation>
    <dataValidation type="list" allowBlank="1" showErrorMessage="1" sqref="F28">
      <formula1>"0,1,2,3,4,5"</formula1>
    </dataValidation>
    <dataValidation type="list" allowBlank="1" showErrorMessage="1" sqref="D2:D3 D6 D8:D10">
      <formula1>"0,1,2,3,4,5"</formula1>
    </dataValidation>
    <dataValidation type="list" allowBlank="1" showErrorMessage="1" sqref="D5 D11:D14">
      <formula1>"0,1,2,3"</formula1>
    </dataValidation>
    <dataValidation type="list" allowBlank="1" sqref="B19">
      <formula1>"Tauren,Troll,Orc"</formula1>
    </dataValidation>
    <dataValidation type="list" allowBlank="1" showErrorMessage="1" sqref="D15">
      <formula1>"0,1"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405</v>
      </c>
    </row>
    <row r="2">
      <c r="A2" s="8" t="s">
        <v>406</v>
      </c>
    </row>
    <row r="3">
      <c r="A3" s="1" t="s">
        <v>407</v>
      </c>
    </row>
    <row r="4">
      <c r="A4" s="8" t="s">
        <v>408</v>
      </c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21">
      <c r="A21" s="193" t="s">
        <v>202</v>
      </c>
      <c r="B21" s="65" t="s">
        <v>409</v>
      </c>
      <c r="C21" s="95" t="s">
        <v>232</v>
      </c>
      <c r="D21" s="95" t="s">
        <v>233</v>
      </c>
      <c r="E21" s="69" t="s">
        <v>234</v>
      </c>
      <c r="F21" s="96" t="s">
        <v>235</v>
      </c>
      <c r="G21" s="96" t="s">
        <v>236</v>
      </c>
      <c r="H21" s="96" t="s">
        <v>237</v>
      </c>
      <c r="I21" s="97" t="s">
        <v>163</v>
      </c>
      <c r="J21" s="98" t="s">
        <v>158</v>
      </c>
      <c r="K21" s="99" t="s">
        <v>210</v>
      </c>
      <c r="L21" s="99" t="s">
        <v>211</v>
      </c>
      <c r="M21" s="99" t="s">
        <v>238</v>
      </c>
    </row>
    <row r="22">
      <c r="A22" s="105" t="str">
        <f>(6-(1/3) * #REF!) * 2</f>
        <v>#REF!</v>
      </c>
      <c r="B22" s="106" t="s">
        <v>410</v>
      </c>
      <c r="C22" s="107" t="str">
        <f>IF($J$22="Water",(65*(A22/$H$27))+(150+($N$23/10)),0)</f>
        <v>#REF!</v>
      </c>
      <c r="D22" s="107" t="str">
        <f>(SUM(#REF!)*(A22/#REF!))+SUM(#REF!)</f>
        <v>#REF!</v>
      </c>
      <c r="E22" s="108" t="str">
        <f t="shared" ref="E22:E24" si="1">(2*#REF!)</f>
        <v>#REF!</v>
      </c>
      <c r="F22" s="108" t="str">
        <f>(IF($J$22="Lightning",#REF!*(A22/$H$27),0))</f>
        <v>#REF!</v>
      </c>
      <c r="G22" s="108"/>
      <c r="H22" s="108" t="str">
        <f>(SUM(#REF!)*(A22/#REF!))+SUM(#REF!)+(2*#REF!)+(IF($J$22="Lightning",#REF!*(A22/$H$27),0))</f>
        <v>#REF!</v>
      </c>
      <c r="I22" s="108" t="str">
        <f t="shared" ref="I22:I24" si="2">H22/A22</f>
        <v>#REF!</v>
      </c>
      <c r="J22" s="108" t="str">
        <f t="shared" ref="J22:J23" si="3">(D22*(1-#REF!)+(E22*1.5)+F22+C22)*(IF($J$23="Rockbiter",1+#REF!,1)+IF(AND($J$23="Rockbiter",$F$30),#REF!*#REF!,0))*IF($J$26,0.75,1)*IF($J$27,0.8,1)*IF($F$36,1.02,1)*IF($F$37,0.98,1)/A22*(1+#REF!)</f>
        <v>#REF!</v>
      </c>
      <c r="K22" s="108" t="str">
        <f>SUM(#REF!)+(#REF!*2)</f>
        <v>#REF!</v>
      </c>
      <c r="L22" s="108" t="str">
        <f t="shared" ref="L22:L24" si="4">K22/A22</f>
        <v>#REF!</v>
      </c>
      <c r="M22" s="108" t="str">
        <f t="shared" ref="M22:M24" si="5">$N$34/L22</f>
        <v>#REF!</v>
      </c>
    </row>
    <row r="23">
      <c r="A23" s="105" t="str">
        <f>(6-(1/3) * #REF!) * 4</f>
        <v>#REF!</v>
      </c>
      <c r="B23" s="106" t="s">
        <v>411</v>
      </c>
      <c r="C23" s="107" t="str">
        <f>IF($J$22="Water",(65*(A23/$H$27))+((150+($N$23/10))*2),0)</f>
        <v>#REF!</v>
      </c>
      <c r="D23" s="107" t="str">
        <f>(SUM(#REF!)*(A23/#REF!))+(SUM(#REF!)*2)</f>
        <v>#REF!</v>
      </c>
      <c r="E23" s="108" t="str">
        <f t="shared" si="1"/>
        <v>#REF!</v>
      </c>
      <c r="F23" s="108" t="str">
        <f>(#REF!*2)+(#REF!*1.1333333)+(IF($J$22="Lightning",#REF!*(A23/$H$27),0))</f>
        <v>#REF!</v>
      </c>
      <c r="G23" s="108"/>
      <c r="H23" s="108" t="str">
        <f>(SUM(#REF!)*(A23/#REF!))+(SUM(#REF!)*2)+(#REF!*1.1333333)+(IF($J$22="Lightning",#REF!*(A23/$H$27),0))+(if(#REF!,#REF!*A23/#REF!,0))</f>
        <v>#REF!</v>
      </c>
      <c r="I23" s="108" t="str">
        <f t="shared" si="2"/>
        <v>#REF!</v>
      </c>
      <c r="J23" s="108" t="str">
        <f t="shared" si="3"/>
        <v>#REF!</v>
      </c>
      <c r="K23" s="108" t="str">
        <f>SUM(#REF!)*2</f>
        <v>#REF!</v>
      </c>
      <c r="L23" s="108" t="str">
        <f t="shared" si="4"/>
        <v>#REF!</v>
      </c>
      <c r="M23" s="108" t="str">
        <f t="shared" si="5"/>
        <v>#REF!</v>
      </c>
    </row>
    <row r="24">
      <c r="A24" s="105" t="str">
        <f>(6-(1/3) * #REF!) * 2</f>
        <v>#REF!</v>
      </c>
      <c r="B24" s="106" t="s">
        <v>410</v>
      </c>
      <c r="C24" s="107" t="str">
        <f>IF($J$22="Water",(65*(A24/$H$27))+(150+($N$23/10)),0)</f>
        <v>#REF!</v>
      </c>
      <c r="D24" s="107" t="str">
        <f>(SUM(#REF!)*(A24/#REF!))+SUM(#REF!)</f>
        <v>#REF!</v>
      </c>
      <c r="E24" s="108" t="str">
        <f t="shared" si="1"/>
        <v>#REF!</v>
      </c>
      <c r="F24" s="108" t="str">
        <f>(IF($J$22="Lightning",#REF!*(A24/$H$27),0))</f>
        <v>#REF!</v>
      </c>
      <c r="G24" s="108"/>
      <c r="H24" s="108" t="str">
        <f>(SUM(#REF!)*(A24/#REF!))+SUM(#REF!)+(2*#REF!)+(IF($J$22="Lightning",#REF!*(A24/$H$27),0))+(if(#REF!,#REF!*A24/#REF!,0))</f>
        <v>#REF!</v>
      </c>
      <c r="I24" s="108" t="str">
        <f t="shared" si="2"/>
        <v>#REF!</v>
      </c>
      <c r="J24" s="108" t="str">
        <f>(D24*(1-#REF!)+(E24*1.5)+F24+C24)*(IF($J$23="Rockbiter",1+#REF!,1)+IF(AND($J$23="Rockbiter",$F$30),#REF!*#REF!,0))*IF($J$26,0.75,1)*IF($J$27,0.8,1)*IF($F$36,1.02,1)*IF($F$37,0.98,1)/A24*(1+#REF!)+if(#REF!,#REF!,0)</f>
        <v>#REF!</v>
      </c>
      <c r="K24" s="108" t="str">
        <f>SUM(#REF!)+(#REF!*2)</f>
        <v>#REF!</v>
      </c>
      <c r="L24" s="108" t="str">
        <f t="shared" si="4"/>
        <v>#REF!</v>
      </c>
      <c r="M24" s="108" t="str">
        <f t="shared" si="5"/>
        <v>#REF!</v>
      </c>
    </row>
    <row r="28">
      <c r="A28" s="64" t="s">
        <v>202</v>
      </c>
      <c r="B28" s="65" t="s">
        <v>203</v>
      </c>
      <c r="C28" s="66" t="s">
        <v>204</v>
      </c>
      <c r="D28" s="66" t="s">
        <v>205</v>
      </c>
      <c r="E28" s="67" t="s">
        <v>206</v>
      </c>
      <c r="F28" s="67" t="s">
        <v>207</v>
      </c>
      <c r="G28" s="68" t="s">
        <v>208</v>
      </c>
      <c r="H28" s="194" t="s">
        <v>163</v>
      </c>
      <c r="I28" s="195" t="s">
        <v>158</v>
      </c>
      <c r="J28" s="69" t="s">
        <v>210</v>
      </c>
      <c r="K28" s="69" t="s">
        <v>211</v>
      </c>
      <c r="L28" s="69" t="s">
        <v>238</v>
      </c>
      <c r="M28" s="69" t="s">
        <v>412</v>
      </c>
      <c r="N28" s="69" t="s">
        <v>413</v>
      </c>
      <c r="O28" s="45" t="s">
        <v>171</v>
      </c>
      <c r="P28" s="45" t="s">
        <v>172</v>
      </c>
    </row>
    <row r="29">
      <c r="A29" s="72" t="str">
        <f t="shared" ref="A29:A31" si="6">$F$24</f>
        <v>#REF!</v>
      </c>
      <c r="B29" s="2" t="str">
        <f>$F$24/(1+$N$27)</f>
        <v>#REF!</v>
      </c>
      <c r="C29" s="73"/>
      <c r="D29" s="73" t="str">
        <f>14/#REF!</f>
        <v>#REF!</v>
      </c>
      <c r="E29" s="2" t="str">
        <f>($F$22+($N$23/D29))*(1+#REF!)*IF($H$33,1.04,1)*(1-$P$32)+IF(#REF!,8,0)</f>
        <v>#REF!</v>
      </c>
      <c r="F29" s="2" t="str">
        <f>($F$23+($N$23/D29))*(1+#REF!)*IF($H$33,1.04,1)*(1-$P$32)+IF(#REF!,8,0)</f>
        <v>#REF!</v>
      </c>
      <c r="G29" s="76" t="str">
        <f>((AVERAGE(E29,F29)*1*(1-$P$25))+(AVERAGE(E29,F29)*$P$27*$P$25))*(1+$P$30)*(1-$P$22-$P$23)-($P$24*$P$26)</f>
        <v>#REF!</v>
      </c>
      <c r="H29" s="126" t="str">
        <f>G29/B29</f>
        <v>#REF!</v>
      </c>
      <c r="I29" s="126" t="str">
        <f>H29*(IF($J$23="Rockbiter",1+#REF!,1)+IF(AND($J$23="Rockbiter",$F$30),#REF!*#REF!,0))*IF($J$26,0.75,1)*IF($J$27,0.8,1)*IF($F$36,1.02,1)*IF($F$37,0.98,1)*(1-#REF!)*(1+#REF!)</f>
        <v>#REF!</v>
      </c>
      <c r="J29" s="2"/>
      <c r="K29" s="2"/>
      <c r="L29" s="2"/>
      <c r="M29" s="88" t="str">
        <f>G29/B29</f>
        <v>#REF!</v>
      </c>
      <c r="N29" s="18" t="str">
        <f t="shared" ref="N29:N38" si="7">M29/$B$42</f>
        <v>#REF!</v>
      </c>
      <c r="O29" s="88" t="str">
        <f>N29+N32+N35</f>
        <v>#REF!</v>
      </c>
      <c r="P29" s="88" t="str">
        <f>1-O29</f>
        <v>#REF!</v>
      </c>
    </row>
    <row r="30">
      <c r="A30" s="72" t="str">
        <f t="shared" si="6"/>
        <v>#REF!</v>
      </c>
      <c r="B30" s="2" t="str">
        <f>IF($J$23="Windfury",60/(#REF!*2),0)</f>
        <v>#REF!</v>
      </c>
      <c r="C30" s="73"/>
      <c r="D30" s="73"/>
      <c r="E30" s="2" t="str">
        <f>($F$22+(($N$23)/#REF!))*(1+#REF!)*IF($H$33,1.04,1)*(1-$P$32)+IF(#REF!,8,0)</f>
        <v>#REF!</v>
      </c>
      <c r="F30" s="2" t="str">
        <f>($F$23+(($N$23)/#REF!))*(1+#REF!)*IF($H$33,1.04,1)*(1-$P$32)+IF(#REF!,8,0)</f>
        <v>#REF!</v>
      </c>
      <c r="G30" s="76" t="str">
        <f>(((AVERAGE(E30,F30)*1*(1-$P$25))+(AVERAGE(E30,F30)*$P$27*$P$25))*(1+$P$30)*(1-$P$22-$P$23)-($P$24*$P$26))*IF($J$23="Windfury",1,0)</f>
        <v>#REF!</v>
      </c>
      <c r="H30" s="126" t="str">
        <f>IF($J$23="Windfury",G30/B30,0)</f>
        <v>#REF!</v>
      </c>
      <c r="I30" s="126" t="str">
        <f t="shared" ref="I30:I31" si="8">H30*(IF($J$23="Rockbiter",1+#REF!,1)+IF(AND($J$23="Rockbiter",$F$30),#REF!*#REF!,0))*IF($J$26,0.7,1)*IF($J$27,0.8,1)*IF($F$36,1.02,1)*IF($F$37,0.98,1)*(1-#REF!)*(1+#REF!)</f>
        <v>#REF!</v>
      </c>
      <c r="J30" s="2"/>
      <c r="K30" s="2"/>
      <c r="L30" s="2"/>
      <c r="M30" s="88" t="str">
        <f>IF($J$23="Windfury",(G30/B30),0)</f>
        <v>#REF!</v>
      </c>
      <c r="N30" s="18" t="str">
        <f t="shared" si="7"/>
        <v>#REF!</v>
      </c>
    </row>
    <row r="31">
      <c r="A31" s="72" t="str">
        <f t="shared" si="6"/>
        <v>#REF!</v>
      </c>
      <c r="B31" s="2" t="str">
        <f>$F$24/(1+$N$27)</f>
        <v>#REF!</v>
      </c>
      <c r="C31" s="127">
        <f>10%</f>
        <v>0.1</v>
      </c>
      <c r="D31" s="73"/>
      <c r="E31" s="2" t="str">
        <f>(29.5*$F$24+(C31*$N$36))*(1+(IF(#REF!="Flametongue",0.1*$D$32,0))+($D$34*0.05)+($D$37*0.05)+($D$29*0.01))*IF($H$38,1.1,1)*IF($H$39,1.15,1)*IF($H$40,1.1,1)</f>
        <v>#REF!</v>
      </c>
      <c r="F31" s="2" t="str">
        <f>(29.5*$F$24+(C31*$N$36))*(1+(IF(#REF!="Flametongue",0.1*$D$32,0))+($D$34*0.05)+($D$37*0.05)+($D$29*0.01))*IF($H$38,1.1,1)*IF($H$39,1.15,1)*IF($H$40,1.1,1)</f>
        <v>#REF!</v>
      </c>
      <c r="G31" s="2" t="str">
        <f>E31*(1+($N$37+$S$8)/(2-#REF!*0.5))*MIN(IF($H$23=63,0.83+$N$38,0.96+$N$38-(($H$23-60)*0.01)),0.99)*IF($J$23="Flametongue",1,0)*((1-$P$35*0.0025)*$P$33)*(1-$P$22)</f>
        <v>#REF!</v>
      </c>
      <c r="H31" s="126" t="str">
        <f>(G31/B31)+(G31/(60/(60/B32+B35)))</f>
        <v>#REF!</v>
      </c>
      <c r="I31" s="126" t="str">
        <f t="shared" si="8"/>
        <v>#REF!</v>
      </c>
      <c r="J31" s="2"/>
      <c r="K31" s="2"/>
      <c r="L31" s="2"/>
      <c r="M31" s="88" t="str">
        <f>IF($J$23="Flametongue",(G31/B31)+(G31/(60/(60/B32+B35))),0)</f>
        <v>#REF!</v>
      </c>
      <c r="N31" s="18" t="str">
        <f t="shared" si="7"/>
        <v>#REF!</v>
      </c>
    </row>
    <row r="32">
      <c r="A32" s="78">
        <v>1.5</v>
      </c>
      <c r="B32" s="71" t="str">
        <f t="shared" ref="B32:B34" si="9">IF($F$29,8.5,9)</f>
        <v>#REF!</v>
      </c>
      <c r="C32" s="73"/>
      <c r="D32" s="73" t="str">
        <f t="shared" ref="D32:D33" si="10">14/#REF!</f>
        <v>#REF!</v>
      </c>
      <c r="E32" s="2" t="str">
        <f>E29*(0.6+(#REF!*0.6))</f>
        <v>#REF!</v>
      </c>
      <c r="F32" s="2" t="str">
        <f>#REF!*(0.6+(#REF!*0.6))</f>
        <v>#REF!</v>
      </c>
      <c r="G32" s="2" t="str">
        <f>(AVERAGE(E32,F32)*(1+($P$30+IF($F$29,0.1)+#REF!)*(1-$P$22-$P$23)))-($P$24*$P$26)</f>
        <v>#REF!</v>
      </c>
      <c r="H32" s="126" t="str">
        <f t="shared" ref="H32:H39" si="11">G32/A32</f>
        <v>#REF!</v>
      </c>
      <c r="I32" s="126" t="str">
        <f t="shared" ref="I32:I33" si="12">H32*(IF($J$23="Rockbiter",1+#REF!,1)+IF(AND($J$23="Rockbiter",$F$30),#REF!*#REF!,0))*IF($J$26,0.75,1)*IF($J$27,0.8,1)*IF($F$36,1.02,1)*IF($F$37,0.98,1)*(1-#REF!)*(1+#REF!)</f>
        <v>#REF!</v>
      </c>
      <c r="J32" s="71" t="str">
        <f>IF($J$22="Lightning",(182*(1-I26*0.2)),(182*(1-I26*0.2))-(150+($N$23/10)))-($P$36*0.6*182)</f>
        <v>#REF!</v>
      </c>
      <c r="K32" s="2" t="str">
        <f t="shared" ref="K32:K37" si="13">J32/B32</f>
        <v>#REF!</v>
      </c>
      <c r="L32" s="2"/>
      <c r="M32" s="88" t="str">
        <f t="shared" ref="M32:M35" si="14">G32/B32</f>
        <v>#REF!</v>
      </c>
      <c r="N32" s="18" t="str">
        <f t="shared" si="7"/>
        <v>#REF!</v>
      </c>
    </row>
    <row r="33">
      <c r="A33" s="78">
        <v>1.5</v>
      </c>
      <c r="B33" s="71" t="str">
        <f t="shared" si="9"/>
        <v>#REF!</v>
      </c>
      <c r="C33" s="82">
        <v>0.05</v>
      </c>
      <c r="D33" s="73" t="str">
        <f t="shared" si="10"/>
        <v>#REF!</v>
      </c>
      <c r="E33" s="2" t="str">
        <f>($F$22+($N$23/D29))*(1+#REF!)*(0.2)+(#REF!*$N$35)*IF($H$40,1.1,1)</f>
        <v>#REF!</v>
      </c>
      <c r="F33" s="2" t="str">
        <f>($F$23+($N$23/D29))*(1+#REF!)*(0.2)+(#REF!*$N$35)*IF($H$40,1.1,1)</f>
        <v>#REF!</v>
      </c>
      <c r="G33" s="2" t="str">
        <f>AVERAGE(E33,F33)*((1+($P$30+IF($F$29,0.1)+#REF!))*(1-$P$22-$P$23)*MIN(IF($H$23=63,0.83+$N$38,0.96+$N$38-(($H$23-60)*0.01)),0.99))*((1-$P$34*0.0025)*$P$33)</f>
        <v>#REF!</v>
      </c>
      <c r="H33" s="126" t="str">
        <f t="shared" si="11"/>
        <v>#REF!</v>
      </c>
      <c r="I33" s="126" t="str">
        <f t="shared" si="12"/>
        <v>#REF!</v>
      </c>
      <c r="J33" s="71" t="str">
        <f>IF($J$22="Lightning",(182*(1-I26*0.2)),(182*(1-I26*0.2))-(150+($N$23/10)))-($P$36*0.6*182)</f>
        <v>#REF!</v>
      </c>
      <c r="K33" s="2" t="str">
        <f t="shared" si="13"/>
        <v>#REF!</v>
      </c>
      <c r="L33" s="2"/>
      <c r="M33" s="88" t="str">
        <f t="shared" si="14"/>
        <v>#REF!</v>
      </c>
      <c r="N33" s="18" t="str">
        <f t="shared" si="7"/>
        <v>#REF!</v>
      </c>
    </row>
    <row r="34">
      <c r="A34" s="78">
        <v>1.5</v>
      </c>
      <c r="B34" s="71" t="str">
        <f t="shared" si="9"/>
        <v>#REF!</v>
      </c>
      <c r="C34" s="82">
        <v>0.265</v>
      </c>
      <c r="D34" s="82">
        <v>0.25</v>
      </c>
      <c r="E34" s="2" t="str">
        <f>IF($J$22="Lightning",(198+(C34*#REF!)+(D34*$N$23))*IF($J$43,1+#REF!,1)*IF($F$31,1.15,1)*(1+(#REF!*0.05)+(#REF!*0.01))*IF($H$40,1.1,1)*IF(I26,1.15,1),0)</f>
        <v>#REF!</v>
      </c>
      <c r="F34" s="2" t="str">
        <f>IF($J$22="Lightning",(198+(C34*#REF!)+(D34*$N$23))*IF($J$43,1+#REF!,1)*IF($F$31,1.15,1)*(1+(#REF!*0.05)+(#REF!*0.01))*IF($H$40,1.1,1)*IF(I26,1.15,1),0)</f>
        <v>#REF!</v>
      </c>
      <c r="G34" s="2" t="str">
        <f>F34*((1-$P$34*0.0025)*$P$33)</f>
        <v>#REF!</v>
      </c>
      <c r="H34" s="126" t="str">
        <f t="shared" si="11"/>
        <v>#REF!</v>
      </c>
      <c r="I34" s="126" t="str">
        <f>IF($J$22="Lightning",#REF!*(IF($J$23="Rockbiter",1+#REF!,1)+IF(AND($J$23="Rockbiter",$F$30),#REF!*#REF!,0))*IF($J$26,0.75,1)*IF($J$27,0.8,1)*IF($F$36,1.02,1)*IF($F$37,0.98,1)*(1+#REF!),((150+($N$23/10))/2)*(IF($J$23="Rockbiter",1+#REF!,1)+IF(AND($J$23="Rockbiter",$F$30),#REF!*#REF!,0))*IF($J$26,0.7,1)*IF($J$27,0.8,1)*IF($F$36,1.02,1)*IF($F$37,0.98,1)*(1+#REF!))</f>
        <v>#REF!</v>
      </c>
      <c r="J34" s="71" t="str">
        <f>IF($J$22="Lightning",(182*(1-I26*0.2)),(182*(1-I26*0.2))-(150+($N$23/10)))-($P$36*0.6*182)</f>
        <v>#REF!</v>
      </c>
      <c r="K34" s="2" t="str">
        <f t="shared" si="13"/>
        <v>#REF!</v>
      </c>
      <c r="L34" s="2"/>
      <c r="M34" s="88" t="str">
        <f t="shared" si="14"/>
        <v>#REF!</v>
      </c>
      <c r="N34" s="18" t="str">
        <f t="shared" si="7"/>
        <v>#REF!</v>
      </c>
    </row>
    <row r="35">
      <c r="A35" s="78">
        <v>1.5</v>
      </c>
      <c r="B35" s="71" t="str">
        <f>IF($F$29,7.5,8)</f>
        <v>#REF!</v>
      </c>
      <c r="C35" s="73"/>
      <c r="D35" s="83" t="str">
        <f>14/#REF!</f>
        <v>#REF!</v>
      </c>
      <c r="E35" s="2" t="str">
        <f>E29*(1.01+#REF!)</f>
        <v>#REF!</v>
      </c>
      <c r="F35" s="2" t="str">
        <f>#REF!*(1.01+#REF!)</f>
        <v>#REF!</v>
      </c>
      <c r="G35" s="2" t="str">
        <f>AVERAGE(E35,F35)*(1+($P$30+IF($F$29,0.1)+#REF!))*(1-$P$22-$P$23)-($P$24*$P$26)</f>
        <v>#REF!</v>
      </c>
      <c r="H35" s="126" t="str">
        <f t="shared" si="11"/>
        <v>#REF!</v>
      </c>
      <c r="I35" s="126" t="str">
        <f>H35*(IF($J$23="Rockbiter",1+#REF!,1)+IF(AND($J$23="Rockbiter",$F$30),#REF!*#REF!,0))*IF($J$26,0.75,1)*IF($J$27,0.8,1)*IF($F$36,1.02,1)*IF($F$37,0.98,1)*(1-#REF!)*(1+#REF!)</f>
        <v>#REF!</v>
      </c>
      <c r="J35" s="71">
        <f>(152*(1-I26*0.2))-($P$36*0.6*152)</f>
        <v>152</v>
      </c>
      <c r="K35" s="2" t="str">
        <f t="shared" si="13"/>
        <v>#REF!</v>
      </c>
      <c r="L35" s="2"/>
      <c r="M35" s="88" t="str">
        <f t="shared" si="14"/>
        <v>#REF!</v>
      </c>
      <c r="N35" s="18" t="str">
        <f t="shared" si="7"/>
        <v>#REF!</v>
      </c>
    </row>
    <row r="36">
      <c r="A36" s="78">
        <v>1.5</v>
      </c>
      <c r="B36" s="71" t="str">
        <f t="shared" ref="B36:B37" si="15">6-($D$33*(1/3))</f>
        <v>#REF!</v>
      </c>
      <c r="C36" s="84">
        <v>0.386</v>
      </c>
      <c r="D36" s="82">
        <v>0.1</v>
      </c>
      <c r="E36" s="71" t="str">
        <f>(492+(D36*$N$23)+(C36*$N$35)+IF(#REF!,30,0))*(1+(0.01*$D$29)+($D$37*0.05))*IF($J$43,1+#REF!,1)*IF(#REF!,1.1,1)*IF(I26,1.15,1)*IF($H$40,1.1,1)</f>
        <v>#REF!</v>
      </c>
      <c r="F36" s="71" t="str">
        <f>(520+(D36*$N$23)+(C36*$N$35)+IF(#REF!,30,0))*(1+(0.01*$D$29)+($D$37*0.05))*IF($J$43,1+#REF!,1)*IF(#REF!,1.1,1)*IF(I26,1.15,1)*IF($H$40,1.1,1)</f>
        <v>#REF!</v>
      </c>
      <c r="G36" s="71" t="str">
        <f>(AVERAGE(E36,F36))*(1+(($N$37+IF($F$29,0.1,0)+#REF!+IF($F$32,0.05,0))/(2-#REF!*0.5)))*MIN(IF($H$23=63,0.83+$N$38,0.96+$N$38-(($H$23-60)*0.01)),0.99)*((1-$P$34*0.0025)*$P$33)</f>
        <v>#REF!</v>
      </c>
      <c r="H36" s="126" t="str">
        <f t="shared" si="11"/>
        <v>#REF!</v>
      </c>
      <c r="I36" s="126" t="str">
        <f>H36*(IF($J$23="Rockbiter",1+#REF!,1)+IF(AND($J$23="Rockbiter",$F$30),#REF!*#REF!,0))*IF($J$26,0.75,1)*IF($J$27,0.8,1)*IF($F$36,1.02,1)*IF($F$37,0.98,1)*1.5*(1+#REF!)</f>
        <v>#REF!</v>
      </c>
      <c r="J36" s="71">
        <f>(450*(1-($D$30*0.02))*(1-I26*0.2))-($P$36*0.6*450)</f>
        <v>450</v>
      </c>
      <c r="K36" s="2" t="str">
        <f t="shared" si="13"/>
        <v>#REF!</v>
      </c>
      <c r="L36" s="2"/>
      <c r="M36" s="88" t="str">
        <f>G36*2/15</f>
        <v>#REF!</v>
      </c>
      <c r="N36" s="18" t="str">
        <f t="shared" si="7"/>
        <v>#REF!</v>
      </c>
    </row>
    <row r="37">
      <c r="A37" s="78">
        <v>1.5</v>
      </c>
      <c r="B37" s="71" t="str">
        <f t="shared" si="15"/>
        <v>#REF!</v>
      </c>
      <c r="C37" s="84">
        <v>0.1495</v>
      </c>
      <c r="D37" s="84">
        <v>0.06</v>
      </c>
      <c r="E37" s="71" t="str">
        <f>(293+(D37*$N$23)+(C37*$N$36)+IF($F$27,30,0))*(1+(0.01*$D$29)+($D$34*0.05)+(#REF!*0.05)+(IF(#REF!="Flametongue",0.1*$D$32,0))+(IF(#REF!,0.1,0))*IF($H$38,1.1,1)*IF($H$39,1.15,1)*IF(#REF!,1.1,1)*IF(I26,1.15,1)*IF($H$40,1.1,1))</f>
        <v>#REF!</v>
      </c>
      <c r="F37" s="71" t="str">
        <f>(293+(D37*$N$23)+(C37*$N$36)+IF($F$27,30,0))*(1+(0.01*$D$29)+($D$34*0.05)+(#REF!*0.05)+(IF(#REF!="Flametongue",0.1*$D$32,0))+(IF(#REF!,0.1,0))*IF($H$38,1.1,1)*IF($H$39,1.15,1)*IF(#REF!,1.1,1)*IF(I26,1.15,1)*IF($H$40,1.1,1))</f>
        <v>#REF!</v>
      </c>
      <c r="G37" s="71" t="str">
        <f>(AVERAGE(E37,F37))*(1+(($N$37+IF($F$29,0.1,0)+#REF!+IF($F$32,0.05,0))/(2-#REF!*0.5)))*MIN(IF($H$23=63,0.83+$N$38,0.96+$N$38-(($H$23-60)*0.01)),0.99)*((1-$P$35*0.0025)*$P$33)</f>
        <v>#REF!</v>
      </c>
      <c r="H37" s="126" t="str">
        <f t="shared" si="11"/>
        <v>#REF!</v>
      </c>
      <c r="I37" s="126" t="str">
        <f t="shared" ref="I37:I39" si="16">H37*(IF($J$23="Rockbiter",1+#REF!,1)+IF(AND($J$23="Rockbiter",$F$30),#REF!*#REF!,0))*IF($J$26,0.75,1)*IF($J$27,0.8,1)*IF($F$36,1.02,1)*IF($F$37,0.98,1)*(1+#REF!)</f>
        <v>#REF!</v>
      </c>
      <c r="J37" s="71">
        <f>(410*(1-($D$30*0.02))*(1-I26*0.2)-($P$36*0.6*450))</f>
        <v>410</v>
      </c>
      <c r="K37" s="2" t="str">
        <f t="shared" si="13"/>
        <v>#REF!</v>
      </c>
      <c r="L37" s="2"/>
      <c r="M37" s="88" t="str">
        <f t="shared" ref="M37:M38" si="17">G37/15</f>
        <v>#REF!</v>
      </c>
      <c r="N37" s="18" t="str">
        <f t="shared" si="7"/>
        <v>#REF!</v>
      </c>
    </row>
    <row r="38">
      <c r="A38" s="78">
        <v>1.5</v>
      </c>
      <c r="B38" s="71">
        <v>1.5</v>
      </c>
      <c r="C38" s="82">
        <v>0.1302</v>
      </c>
      <c r="D38" s="84">
        <v>0.015</v>
      </c>
      <c r="E38" s="71" t="str">
        <f>(82+(D38*$N$23)+(C38*$N$36)+IF($F$27,30,0))*(1+(0.01*$D$29)+($D$34*0.05)+(#REF!*0.05)+(IF(#REF!="Flametongue",0.1*$D$32,0))+(IF(#REF!,0.1,0))*IF($H$38,1.1,1)*IF($H$39,1.15,1)*IF(#REF!,1.1,1)*IF(I26,1.15,1)*IF($H$40,1.1,1))</f>
        <v>#REF!</v>
      </c>
      <c r="F38" s="71" t="str">
        <f>(82+(D38*$N$23)+(C38*$N$36)+IF($F$27,30,0))*(1+(0.01*$D$29)+($D$34*0.05)+(#REF!*0.05)+(IF(#REF!="Flametongue",0.1*$D$32,0))+(IF(#REF!,0.1,0))*IF($H$38,1.1,1)*IF($H$39,1.15,1)*IF(#REF!,1.1,1)*IF(I26,1.15,1)*IF($H$40,1.1,1))</f>
        <v>#REF!</v>
      </c>
      <c r="G38" s="71" t="str">
        <f>(AVERAGE(E38,F38))*MIN(IF($H$23=63,0.83+$N$38,0.96+$N$38-(($H$23-60)*0.01)),0.99)*((1-$P$35*0.0025)*$P$33)*5</f>
        <v>#REF!</v>
      </c>
      <c r="H38" s="126" t="str">
        <f t="shared" si="11"/>
        <v>#REF!</v>
      </c>
      <c r="I38" s="126" t="str">
        <f t="shared" si="16"/>
        <v>#REF!</v>
      </c>
      <c r="J38" s="2"/>
      <c r="K38" s="2"/>
      <c r="L38" s="2"/>
      <c r="M38" s="88" t="str">
        <f t="shared" si="17"/>
        <v>#REF!</v>
      </c>
      <c r="N38" s="18" t="str">
        <f t="shared" si="7"/>
        <v>#REF!</v>
      </c>
    </row>
    <row r="39">
      <c r="A39" s="78">
        <v>3.5</v>
      </c>
      <c r="B39" s="2" t="str">
        <f t="shared" ref="B39:B40" si="18">$H$27</f>
        <v/>
      </c>
      <c r="C39" s="82">
        <v>0.27</v>
      </c>
      <c r="D39" s="73"/>
      <c r="E39" s="2" t="str">
        <f>(198+($N$35*#REF!))*(1+(#REF!*0.05)+(#REF!*0.01))*IF(I26,1.15,1)*IF($H$40,1.1,1)*IF(I24,1+#REF!,1)</f>
        <v>#REF!</v>
      </c>
      <c r="F39" s="2" t="str">
        <f>(198+($N$35*#REF!))*(1+(#REF!*0.05)+(#REF!*0.01))*IF(I26,1.15,1)*IF($H$40,1.1,1)*IF(I24,1+#REF!,1)</f>
        <v>#REF!</v>
      </c>
      <c r="G39" s="2" t="str">
        <f>E39*((1-$P$34*0.0025)*$P$33)</f>
        <v>#REF!</v>
      </c>
      <c r="H39" s="126" t="str">
        <f t="shared" si="11"/>
        <v>#REF!</v>
      </c>
      <c r="I39" s="126" t="str">
        <f t="shared" si="16"/>
        <v>#REF!</v>
      </c>
      <c r="J39" s="2">
        <f>370</f>
        <v>370</v>
      </c>
      <c r="K39" s="2" t="str">
        <f>J39/(9*#REF!)</f>
        <v>#REF!</v>
      </c>
      <c r="L39" s="2"/>
      <c r="N39" s="18"/>
    </row>
    <row r="40">
      <c r="A40" s="78">
        <v>3.5</v>
      </c>
      <c r="B40" s="2" t="str">
        <f t="shared" si="18"/>
        <v/>
      </c>
      <c r="C40" s="73"/>
      <c r="D40" s="73"/>
      <c r="E40" s="71">
        <v>0.0</v>
      </c>
      <c r="F40" s="71">
        <v>0.0</v>
      </c>
      <c r="G40" s="71">
        <v>0.0</v>
      </c>
      <c r="H40" s="134">
        <v>0.0</v>
      </c>
      <c r="I40" s="126" t="str">
        <f>65/#REF!</f>
        <v>#REF!</v>
      </c>
      <c r="J40" s="71">
        <v>-130.0</v>
      </c>
      <c r="K40" s="2" t="str">
        <f>-130/#REF!</f>
        <v>#REF!</v>
      </c>
      <c r="L40" s="2"/>
      <c r="N40" s="18"/>
    </row>
    <row r="41">
      <c r="A41" s="78">
        <v>2.2</v>
      </c>
      <c r="B41" s="71" t="str">
        <f>2.2*(1-#REF!*0.1)</f>
        <v>#REF!</v>
      </c>
      <c r="C41" s="84">
        <v>0.1</v>
      </c>
      <c r="D41" s="73"/>
      <c r="E41" s="135" t="str">
        <f>(40+(C41*$N$36))*(1+($D$34*0.05)+(IF(#REF!="Flametongue",($D$32*0.1),0))+($D$37*0.05)+($D$29*0.01))*IF($H$38,1.1,1)*IF($H$39,1.15,1)*IF($H$40,1.1,1)</f>
        <v>#REF!</v>
      </c>
      <c r="F41" s="135" t="str">
        <f>(54+(C41*$N$36))*(1+($D$34*0.05)+(IF(#REF!="Flametongue",($D$32*0.1),0))+($D$37*0.05)+($D$29*0.01))*IF($H$38,1.1,1)*IF($H$39,1.15,1)*IF($H$40,1.1,1)</f>
        <v>#REF!</v>
      </c>
      <c r="G41" s="2" t="str">
        <f t="shared" ref="G41:G43" si="19">AVERAGE(E41,F41)*(1+(($N$37+$S$8)/(2-#REF!*0.5)))*MIN(IF($H$23=63,0.83+$N$38,0.96+$N$38-(($H$23-60)*0.01)),0.99)*((1-$P$35*0.0025)*$P$33)</f>
        <v>#REF!</v>
      </c>
      <c r="H41" s="126" t="str">
        <f>G41/B41</f>
        <v>#REF!</v>
      </c>
      <c r="I41" s="106" t="str">
        <f>(G41/B41)*(IF($J$23="Rockbiter",1+#REF!,1)+IF(AND($J$23="Rockbiter",$F$30),#REF!*#REF!,0))*IF($J$26,0.7,1)*IF($J$27,0.8,1)*IF($F$36,1.02,1)*IF($F$37,0.98,1)*(0+#REF!)*(1+#REF!)</f>
        <v>#REF!</v>
      </c>
      <c r="J41" s="71">
        <v>170.0</v>
      </c>
      <c r="K41" s="2">
        <f>J41/55</f>
        <v>3.090909091</v>
      </c>
      <c r="L41" s="2"/>
      <c r="M41" s="88" t="str">
        <f>G41/B41</f>
        <v>#REF!</v>
      </c>
      <c r="N41" s="18" t="str">
        <f>M41/$B$42</f>
        <v>#REF!</v>
      </c>
    </row>
    <row r="42">
      <c r="A42" s="78">
        <v>2.0</v>
      </c>
      <c r="B42" s="71">
        <v>2.0</v>
      </c>
      <c r="C42" s="84">
        <v>0.0333</v>
      </c>
      <c r="D42" s="73"/>
      <c r="E42" s="135" t="str">
        <f>(75+(C42*$N$36))*(1+($D$34*0.05)+(IF(#REF!="Flametongue",($D$32*0.1),0))+($D$37*0.05)+($D$29*0.01))*IF($H$38,1.1,1)*IF($H$39,1.15,1)*IF($H$40,1.1,1)</f>
        <v>#REF!</v>
      </c>
      <c r="F42" s="135" t="str">
        <f>(75+(C42*$N$36))*(1+($D$34*0.05)+(IF(#REF!="Flametongue",($D$32*0.1),0))+($D$37*0.05)+($D$29*0.01))*IF($H$38,1.1,1)*IF($H$39,1.15,1)*IF($H$40,1.1,1)</f>
        <v>#REF!</v>
      </c>
      <c r="G42" s="2" t="str">
        <f t="shared" si="19"/>
        <v>#REF!</v>
      </c>
      <c r="H42" s="126" t="str">
        <f t="shared" ref="H42:H43" si="20">G42/A42</f>
        <v>#REF!</v>
      </c>
      <c r="I42" s="106" t="str">
        <f>(G42/B42)*(IF($J$23="Rockbiter",1+#REF!,1)+IF(AND($J$23="Rockbiter",$F$30),#REF!*#REF!,0))*IF($J$26,0.7,1)*IF($J$27,0.8,1)*IF($F$36,1.02,1)*IF($F$37,0.98,1)*(0+#REF!)*(1+#REF!)*(1-#REF!*0.25)</f>
        <v>#REF!</v>
      </c>
      <c r="J42" s="71">
        <v>650.0</v>
      </c>
      <c r="K42" s="2">
        <f>J42/10</f>
        <v>65</v>
      </c>
      <c r="L42" s="2"/>
    </row>
    <row r="43">
      <c r="A43" s="78">
        <v>4.0</v>
      </c>
      <c r="B43" s="71" t="str">
        <f>4-(1*#REF!)</f>
        <v>#REF!</v>
      </c>
      <c r="C43" s="82">
        <v>0.15</v>
      </c>
      <c r="D43" s="73"/>
      <c r="E43" s="135" t="str">
        <f>(413+(C43*$N$36))*(1+($D$34*0.05)+(IF(#REF!="Flametongue",($D$32*0.1),0))+($D$37*0.05)+($D$29*0.01))*IF($H$38,1.1,1)*IF($H$39,1.15,1)*IF($H$40,1.1,1)</f>
        <v>#REF!</v>
      </c>
      <c r="F43" s="135" t="str">
        <f>(459+(C43*$N$36))*(1+($D$34*0.05)+(IF(#REF!="Flametongue",($D$32*0.1),0))+($D$37*0.05)+($D$29*0.01))*IF($H$38,1.1,1)*IF($H$39,1.15,1)*IF($H$40,1.1,1)</f>
        <v>#REF!</v>
      </c>
      <c r="G43" s="2" t="str">
        <f t="shared" si="19"/>
        <v>#REF!</v>
      </c>
      <c r="H43" s="126" t="str">
        <f t="shared" si="20"/>
        <v>#REF!</v>
      </c>
      <c r="I43" s="106" t="str">
        <f>(G43/B43)*(IF($J$23="Rockbiter",1+#REF!,1)+IF(AND($J$23="Rockbiter",$F$30),#REF!*#REF!,0))*IF($J$26,0.7,1)*IF($J$27,0.8,1)*IF($F$36,1.02,1)*IF($F$37,0.98,1)*(0+#REF!)*(1+#REF!)</f>
        <v>#REF!</v>
      </c>
      <c r="J43" s="71">
        <v>525.0</v>
      </c>
      <c r="K43" s="2">
        <f>J43/4</f>
        <v>131.25</v>
      </c>
      <c r="L43" s="2"/>
    </row>
    <row r="44">
      <c r="A44" s="78">
        <v>2.0</v>
      </c>
      <c r="B44" s="71">
        <v>1.5</v>
      </c>
      <c r="C44" s="90"/>
      <c r="D44" s="90"/>
      <c r="E44" s="71">
        <v>0.0</v>
      </c>
      <c r="F44" s="71">
        <v>0.0</v>
      </c>
      <c r="G44" s="71">
        <v>0.0</v>
      </c>
      <c r="H44" s="134">
        <v>0.0</v>
      </c>
      <c r="I44" s="136" t="str">
        <f>(150/B44)*(IF($J$23="Rockbiter",1+#REF!,1)+IF(AND($J$23="Rockbiter",$F$30),#REF!*#REF!,0))*IF($J$26,0.7,1)*IF($J$27,0.8,1)*IF($F$36,1.02,1)*IF($F$37,0.98,1)*(0+#REF!)*(1+#REF!)*MIN(IF($H$23=63,0.83+$N$38,0.96+$N$38-(($H$23-60)*0.01)),0.99)</f>
        <v>#REF!</v>
      </c>
      <c r="J44" s="71">
        <v>140.0</v>
      </c>
      <c r="K44" s="2"/>
      <c r="L44" s="2"/>
    </row>
    <row r="50">
      <c r="A50" s="87" t="s">
        <v>414</v>
      </c>
      <c r="B50" s="139" t="str">
        <f>MIN(
  1,
  3 * (
    (#REF! * (1 - SUM(#REF!)) / C8)
    + (MIN(1, #REF! + 0.02 * #REF!) * (1 - SUM(#REF!)) / 8)
    + (MIN(1, #REF! + 0.02 * #REF!) * (1 - SUM(#REF!)) / 9)
  ) * C8
)</f>
        <v>#REF!</v>
      </c>
    </row>
    <row r="51">
      <c r="A51" s="87">
        <f>1-(((1-$P$10)^(3))*(1-(1-SUM($P$2,$P$3))*$P$10))</f>
        <v>0</v>
      </c>
      <c r="B51" s="4"/>
    </row>
    <row r="52">
      <c r="A52" s="4"/>
      <c r="B52" s="4"/>
    </row>
    <row r="53">
      <c r="A53" s="4"/>
      <c r="B53" s="139">
        <f>LET(
  miss, SUM($P$2,$P$3),
  p_auto, $P$10 * (1 - miss),
  p_spell, MIN(1, $P$10 + 0.02 * $D$8) * (1 - miss),
  r, p_auto / $C$43 + p_spell / 8 + p_spell / 9,
  a, 1 / $C$43,
  rho, r / a,
  uptime_time, (rho * (3 + 3 * rho + rho^2)) / (1 + rho)^3,
  uptime_time
)</f>
        <v>0</v>
      </c>
    </row>
    <row r="54">
      <c r="A54" s="4"/>
      <c r="B54" s="139">
        <f t="shared" ref="B54:B55" si="21">LET(
  miss, SUM($P$2,$P$3),
  p_auto, $P$10 * (1 - miss),
  p_spell, MIN(1, $P$10 + 0.02 * $D$8) * (1 - miss),
  extra_proc, IF($J$2="Windfury", $C$44 * p_auto, 0),
  r, p_auto / $C$43 + p_spell / 8 + p_spell / 9 + extra_proc,
  a, 1 / $C$43,
  rho, r / a,
  uptime_time, (rho * (3 + 3 * rho + rho^2)) / (1 + rho)^3,
  uptime_time
)</f>
        <v>0</v>
      </c>
    </row>
    <row r="55">
      <c r="A55" s="4"/>
      <c r="B55" s="139">
        <f t="shared" si="21"/>
        <v>0</v>
      </c>
    </row>
    <row r="56">
      <c r="A56" s="4"/>
      <c r="B56" s="87" t="str">
        <f>LET(
  miss, SUM($P$2,$P$3),
  p_auto, $P$10 * (1 - miss),
  p_spell, MIN(1, $P$10 + 0.02 * $D$8) * (1 - miss),
  p_extra, $P$10 * (1 - miss),
  r, p_auto / $C$43 + p_spell / 8 + p_spell / 9 + p_extra / $C$44,
  a, 1 / $C$43,
  rho, r / a,
  uptime_time, (rho * (3 + 3 * rho + rho^2)) / (1 + rho)^3,
  uptime_time
)</f>
        <v>#DIV/0!</v>
      </c>
    </row>
    <row r="57">
      <c r="A57" s="4"/>
      <c r="B57" s="139" t="str">
        <f>LET(
  miss, SUM($P$2,$P$3),
  p_auto, $P$10 * (1 - miss),
  p_spell, MIN(1, $P$10 + 0.02 * $D$8) * (1 - miss),
  p_extra, $P$10 * (1 - miss),
  r, p_auto / $C$43 + p_spell / 8 + p_spell / 9 + $C$44 / p_extra,
  a, 1 / $C$43,
  rho, r / a,
  uptime_time, (rho * (3 + 3 * rho + rho^2)) / (1 + rho)^3,
  uptime_time
)</f>
        <v>#DIV/0!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13"/>
    <col customWidth="1" min="5" max="5" width="16.5"/>
    <col customWidth="1" min="7" max="7" width="17.13"/>
    <col customWidth="1" min="9" max="9" width="13.88"/>
    <col customWidth="1" min="10" max="10" width="14.13"/>
    <col customWidth="1" min="11" max="11" width="13.25"/>
    <col customWidth="1" min="13" max="13" width="14.75"/>
    <col customWidth="1" min="15" max="15" width="19.75"/>
  </cols>
  <sheetData>
    <row r="1">
      <c r="A1" s="1" t="s">
        <v>0</v>
      </c>
      <c r="B1" s="2"/>
      <c r="C1" s="3" t="s">
        <v>1</v>
      </c>
      <c r="D1" s="4"/>
      <c r="E1" s="5" t="s">
        <v>2</v>
      </c>
      <c r="G1" s="3" t="s">
        <v>3</v>
      </c>
      <c r="H1" s="4"/>
      <c r="I1" s="3" t="s">
        <v>4</v>
      </c>
      <c r="J1" s="4"/>
      <c r="K1" s="3" t="s">
        <v>5</v>
      </c>
      <c r="L1" s="4"/>
      <c r="M1" s="6" t="s">
        <v>6</v>
      </c>
      <c r="N1" s="7"/>
      <c r="O1" s="8" t="s">
        <v>7</v>
      </c>
      <c r="Q1" s="3"/>
      <c r="T1" s="8" t="s">
        <v>8</v>
      </c>
    </row>
    <row r="2">
      <c r="A2" s="8" t="s">
        <v>9</v>
      </c>
      <c r="B2" s="9">
        <v>120.0</v>
      </c>
      <c r="C2" s="10" t="s">
        <v>10</v>
      </c>
      <c r="D2" s="11">
        <v>5.0</v>
      </c>
      <c r="E2" s="10" t="s">
        <v>11</v>
      </c>
      <c r="F2" s="11">
        <v>223.0</v>
      </c>
      <c r="G2" s="4" t="s">
        <v>12</v>
      </c>
      <c r="H2" s="9">
        <v>60.0</v>
      </c>
      <c r="I2" s="12" t="s">
        <v>13</v>
      </c>
      <c r="J2" s="13" t="s">
        <v>289</v>
      </c>
      <c r="K2" s="4" t="s">
        <v>14</v>
      </c>
      <c r="L2" s="19">
        <v>1.0</v>
      </c>
      <c r="M2" s="8" t="s">
        <v>15</v>
      </c>
      <c r="N2" s="15">
        <f>ROUNDDOWN((IF(B19="Tauren",90,86)+IF(B19="Orc",2,0)+$B$2+IF($L$5,25,0)+IF($L$13,20,0)+IF($L$10,25,0)+IF($J$11,16,0)+ROUNDDOWN(IF($J$12,77*(1+U6),0),0)+IF($L$8,30,0))*IF($J$10,1.1,1)*(($D$2*0.01)+1)*IF(F16,1+(0.05*$R$2),1)+IF(F19,((100*(1+(D2*0.01))*IF(J10,1.1,1))*P24*IF(F16,1+(0.05*$R$2),1)),0)+IF(F24,((50*(1+(D2*0.01))*IF(J10,1.1,1))*R3*IF(F16,1+(0.05*$R$2),1)),0),0)</f>
        <v>459</v>
      </c>
      <c r="O2" s="10" t="s">
        <v>16</v>
      </c>
      <c r="P2" s="16">
        <f>10%+((H3-60)*1.5%)-(MIN(B8-300,15)*0.001)-MIN($N$6,((H3-60)*1%)+5%)</f>
        <v>0.056</v>
      </c>
      <c r="Q2" s="8" t="s">
        <v>17</v>
      </c>
      <c r="R2" s="17">
        <f>1 - EXP(
  -(
     (0.1 * (1 - SUM(P2:P3)) / C43) + IF(AND(J3="Windfury",C44&gt;0),(0.1 * (1 - SUM(P2:P3)) / C44),0)
   ) * 12
)</f>
        <v>0.3022455859</v>
      </c>
      <c r="T2" s="8" t="s">
        <v>18</v>
      </c>
      <c r="U2" s="18">
        <f>D4*0.45</f>
        <v>0</v>
      </c>
    </row>
    <row r="3">
      <c r="A3" s="8" t="s">
        <v>19</v>
      </c>
      <c r="B3" s="9">
        <v>0.0</v>
      </c>
      <c r="C3" s="10" t="s">
        <v>20</v>
      </c>
      <c r="D3" s="11">
        <v>5.0</v>
      </c>
      <c r="E3" s="10" t="s">
        <v>21</v>
      </c>
      <c r="F3" s="11">
        <v>372.0</v>
      </c>
      <c r="G3" s="4" t="s">
        <v>22</v>
      </c>
      <c r="H3" s="9">
        <v>63.0</v>
      </c>
      <c r="I3" s="12" t="s">
        <v>23</v>
      </c>
      <c r="J3" s="13" t="s">
        <v>215</v>
      </c>
      <c r="K3" s="4" t="s">
        <v>24</v>
      </c>
      <c r="L3" s="19">
        <v>1.0</v>
      </c>
      <c r="M3" s="8" t="s">
        <v>19</v>
      </c>
      <c r="N3" s="20">
        <f>ROUNDDOWN((100+$B$3+IF($J$15,55,0)+(($N$2*2)+IF($L$7,35,0)+IF($L$9,40,0)+(P20*130)+IF($J$8,290,0)+IF($J$9,222,0)+IF($J$15,30,0)+IF($J$3="Rockbiter",653,0)+IF(AND($J$3="Rockbiter",$F$11),653*U4,0)+IF($J$25,(120*(15/MAX(H2,15))))+IF($J$28,(260*(20/MAX(H2,20))))+IF($J$29,(200*(20/MAX(H2,20))))))*IF($J$15,1.05,1),0)</f>
        <v>1565</v>
      </c>
      <c r="O3" s="10" t="s">
        <v>25</v>
      </c>
      <c r="P3" s="16">
        <f>IF($H$3=63,14%-((B8-300)*0.006),5%+(($H$3-60)*0.75%))*IF($H$5,0,1)</f>
        <v>0</v>
      </c>
      <c r="Q3" s="8" t="s">
        <v>26</v>
      </c>
      <c r="R3" s="17">
        <f>1-EXP(-((K67*(1-SUM(P2:P3))/C43)+IF(J3="Windfury",(K67*(1-SUM(P2:P3))/C44),0)+(K67*(1-SUM(P2:P3))/C46)+(K67*(1-SUM(P2:P3))/C49))*15)</f>
        <v>0.4216458423</v>
      </c>
      <c r="T3" s="8" t="s">
        <v>27</v>
      </c>
      <c r="U3" s="21">
        <v>0.35</v>
      </c>
    </row>
    <row r="4">
      <c r="A4" s="8" t="s">
        <v>28</v>
      </c>
      <c r="B4" s="9">
        <v>81.0</v>
      </c>
      <c r="C4" s="10" t="s">
        <v>18</v>
      </c>
      <c r="D4" s="11">
        <v>0.0</v>
      </c>
      <c r="E4" s="10" t="s">
        <v>29</v>
      </c>
      <c r="F4" s="11">
        <v>3.7</v>
      </c>
      <c r="G4" s="4" t="s">
        <v>30</v>
      </c>
      <c r="H4" s="9">
        <v>1.0</v>
      </c>
      <c r="I4" s="8" t="s">
        <v>31</v>
      </c>
      <c r="J4" s="22" t="s">
        <v>262</v>
      </c>
      <c r="K4" s="4" t="s">
        <v>32</v>
      </c>
      <c r="L4" s="23">
        <v>0.0</v>
      </c>
      <c r="M4" s="8" t="s">
        <v>33</v>
      </c>
      <c r="N4" s="24">
        <f>ROUNDDOWN(($B$4+IF(B19="Tauren",50,52)+IF(B19="Troll",5,0)+IF($J$11,16,0)+IF($L$6,25,0)+IF($L$11,25,0)+ROUNDDOWN(IF($J$13,77*(1+U6),0),0))*IF($J$10,1.1,1)*(($D$2*0.01)+1),0)</f>
        <v>295</v>
      </c>
      <c r="O4" s="10" t="s">
        <v>34</v>
      </c>
      <c r="P4" s="16">
        <f>IF($H$5,0,5%)</f>
        <v>0</v>
      </c>
      <c r="T4" s="8" t="s">
        <v>35</v>
      </c>
      <c r="U4" s="21">
        <v>0.25</v>
      </c>
    </row>
    <row r="5">
      <c r="A5" s="8" t="s">
        <v>36</v>
      </c>
      <c r="B5" s="25">
        <v>0.05</v>
      </c>
      <c r="C5" s="10" t="s">
        <v>37</v>
      </c>
      <c r="D5" s="11">
        <v>2.0</v>
      </c>
      <c r="E5" s="10" t="s">
        <v>38</v>
      </c>
      <c r="F5" s="11" t="b">
        <v>0</v>
      </c>
      <c r="G5" s="12" t="s">
        <v>39</v>
      </c>
      <c r="H5" s="9" t="b">
        <v>1</v>
      </c>
      <c r="I5" s="8" t="s">
        <v>40</v>
      </c>
      <c r="J5" s="9" t="b">
        <v>0</v>
      </c>
      <c r="K5" s="4" t="s">
        <v>41</v>
      </c>
      <c r="L5" s="9" t="b">
        <v>1</v>
      </c>
      <c r="M5" s="8" t="s">
        <v>36</v>
      </c>
      <c r="N5" s="26">
        <f>$N$4/2000+($D$3/100)+IF($L$6,0.02,0)+IF(J14,0.03,0)+B5+0.017</f>
        <v>0.2845</v>
      </c>
      <c r="O5" s="10" t="s">
        <v>42</v>
      </c>
      <c r="P5" s="26">
        <f>10%+(10%*($H$3-60))</f>
        <v>0.4</v>
      </c>
      <c r="T5" s="8" t="s">
        <v>43</v>
      </c>
      <c r="U5" s="18">
        <f>0.05*D18*F20</f>
        <v>0</v>
      </c>
    </row>
    <row r="6">
      <c r="A6" s="8" t="s">
        <v>44</v>
      </c>
      <c r="B6" s="25">
        <v>0.02</v>
      </c>
      <c r="C6" s="10" t="s">
        <v>45</v>
      </c>
      <c r="D6" s="11">
        <v>5.0</v>
      </c>
      <c r="E6" s="10" t="s">
        <v>46</v>
      </c>
      <c r="F6" s="11" t="b">
        <v>1</v>
      </c>
      <c r="G6" s="10" t="s">
        <v>47</v>
      </c>
      <c r="H6" s="11" t="b">
        <v>0</v>
      </c>
      <c r="I6" s="4" t="s">
        <v>48</v>
      </c>
      <c r="J6" s="9" t="b">
        <v>1</v>
      </c>
      <c r="K6" s="12" t="s">
        <v>49</v>
      </c>
      <c r="L6" s="9" t="b">
        <v>1</v>
      </c>
      <c r="M6" s="8" t="s">
        <v>44</v>
      </c>
      <c r="N6" s="16">
        <f>$B$6+($D$11/100)+(B8-300)*0.002</f>
        <v>0.076</v>
      </c>
      <c r="O6" s="10" t="s">
        <v>50</v>
      </c>
      <c r="P6" s="27">
        <v>38.0</v>
      </c>
      <c r="T6" s="8" t="s">
        <v>51</v>
      </c>
      <c r="U6" s="18">
        <f>0.125*D7</f>
        <v>0</v>
      </c>
    </row>
    <row r="7">
      <c r="A7" s="8" t="s">
        <v>52</v>
      </c>
      <c r="B7" s="25">
        <v>0.02</v>
      </c>
      <c r="C7" s="10" t="s">
        <v>51</v>
      </c>
      <c r="D7" s="11">
        <v>0.0</v>
      </c>
      <c r="E7" s="10" t="s">
        <v>53</v>
      </c>
      <c r="F7" s="11" t="b">
        <v>1</v>
      </c>
      <c r="G7" s="12" t="s">
        <v>54</v>
      </c>
      <c r="H7" s="9">
        <v>4.0</v>
      </c>
      <c r="I7" s="4" t="s">
        <v>55</v>
      </c>
      <c r="J7" s="9" t="b">
        <v>0</v>
      </c>
      <c r="K7" s="12" t="s">
        <v>56</v>
      </c>
      <c r="L7" s="9" t="b">
        <v>1</v>
      </c>
      <c r="M7" s="8" t="s">
        <v>52</v>
      </c>
      <c r="N7" s="16">
        <f>(1+B7)*IF(F16,1+(0.1*R2),1)*IF($L$12,1.02,1)*IF($J$17,MIN(1+(0.2*(30/H2)),1.2),1)*(1+((IF(D6&gt;=1,0.05,0)+($D$6*0.03))*P18))*(1+(0.08*$P$21))*IF($J$24,1+(0.1*(10/H2)),1)*IF($J$27,MIN(1+(0.2*(15/H2)),1.2),1)-1</f>
        <v>0.1754819011</v>
      </c>
      <c r="O7" s="10" t="s">
        <v>57</v>
      </c>
      <c r="P7" s="26">
        <f>MIN(65%+((B8-300)*2%),95%                                                    )</f>
        <v>0.91</v>
      </c>
      <c r="T7" s="8" t="s">
        <v>37</v>
      </c>
      <c r="U7" s="18">
        <f>0.0833*D5*NOT(F20)</f>
        <v>0.1666</v>
      </c>
    </row>
    <row r="8">
      <c r="A8" s="8" t="s">
        <v>58</v>
      </c>
      <c r="B8" s="9">
        <v>313.0</v>
      </c>
      <c r="C8" s="8" t="s">
        <v>59</v>
      </c>
      <c r="D8" s="11">
        <v>4.0</v>
      </c>
      <c r="E8" s="8" t="s">
        <v>60</v>
      </c>
      <c r="F8" s="11" t="b">
        <v>0</v>
      </c>
      <c r="G8" s="12" t="s">
        <v>61</v>
      </c>
      <c r="H8" s="9">
        <v>4211.0</v>
      </c>
      <c r="I8" s="4" t="s">
        <v>62</v>
      </c>
      <c r="J8" s="9" t="b">
        <v>1</v>
      </c>
      <c r="K8" s="4" t="s">
        <v>63</v>
      </c>
      <c r="L8" s="9" t="b">
        <v>0</v>
      </c>
      <c r="M8" s="8" t="s">
        <v>64</v>
      </c>
      <c r="N8" s="24">
        <f>ROUNDDOWN(($B$10+IF(B19="Tauren",85,86)+IF(B19="Troll",1,0)+IF($J$18,31,0)+IF($J$11,16,0))*IF($J$10,1.1,1)*(1+($D$2*0.01)),0)</f>
        <v>358</v>
      </c>
      <c r="O8" s="10" t="s">
        <v>65</v>
      </c>
      <c r="P8" s="16">
        <f>100%-SUM(P2:P5)-MIN(P9,N5-((H3-60)*0.01))</f>
        <v>0.2895</v>
      </c>
      <c r="T8" s="8" t="s">
        <v>59</v>
      </c>
      <c r="U8" s="18">
        <f>0.02*D8</f>
        <v>0.08</v>
      </c>
    </row>
    <row r="9">
      <c r="A9" s="8" t="s">
        <v>66</v>
      </c>
      <c r="B9" s="9">
        <v>0.0</v>
      </c>
      <c r="C9" s="10" t="s">
        <v>67</v>
      </c>
      <c r="D9" s="11">
        <v>5.0</v>
      </c>
      <c r="E9" s="8" t="s">
        <v>68</v>
      </c>
      <c r="F9" s="11" t="b">
        <v>0</v>
      </c>
      <c r="G9" s="12" t="s">
        <v>69</v>
      </c>
      <c r="H9" s="9" t="b">
        <v>1</v>
      </c>
      <c r="I9" s="4" t="s">
        <v>70</v>
      </c>
      <c r="J9" s="9" t="b">
        <v>1</v>
      </c>
      <c r="K9" s="4" t="s">
        <v>71</v>
      </c>
      <c r="L9" s="149" t="b">
        <v>0</v>
      </c>
      <c r="M9" s="8" t="s">
        <v>72</v>
      </c>
      <c r="N9" s="28">
        <f>$B$11+IF($L$15,12,0)</f>
        <v>0</v>
      </c>
      <c r="O9" s="10" t="s">
        <v>73</v>
      </c>
      <c r="P9" s="16">
        <f>100%-SUM(P2:P5)</f>
        <v>0.544</v>
      </c>
      <c r="T9" s="8" t="s">
        <v>74</v>
      </c>
      <c r="U9" s="18">
        <f>J23*0.25</f>
        <v>0.25</v>
      </c>
    </row>
    <row r="10">
      <c r="A10" s="8" t="s">
        <v>75</v>
      </c>
      <c r="B10" s="9">
        <v>176.0</v>
      </c>
      <c r="C10" s="10" t="s">
        <v>76</v>
      </c>
      <c r="D10" s="11">
        <v>2.0</v>
      </c>
      <c r="E10" s="10" t="s">
        <v>77</v>
      </c>
      <c r="F10" s="11" t="b">
        <v>1</v>
      </c>
      <c r="G10" s="12" t="s">
        <v>78</v>
      </c>
      <c r="H10" s="9" t="b">
        <v>1</v>
      </c>
      <c r="I10" s="4" t="s">
        <v>79</v>
      </c>
      <c r="J10" s="9" t="b">
        <v>1</v>
      </c>
      <c r="K10" s="12" t="s">
        <v>80</v>
      </c>
      <c r="L10" s="9" t="b">
        <v>1</v>
      </c>
      <c r="M10" s="8" t="s">
        <v>81</v>
      </c>
      <c r="N10" s="24">
        <f>ROUNDDOWN(($B$12+IF($B$19="Tauren",102,101)+IF($B$19="Orc",1,0)+IF($L$14,50,0)+IF($J$19,40,0)+IF($J$11,16,0))*IF($J$10,1.1,1)*(1+($D$2*0.01)),0)</f>
        <v>187</v>
      </c>
      <c r="O10" s="10" t="s">
        <v>82</v>
      </c>
      <c r="P10" s="16">
        <f>N5-((H3-60)*0.01)</f>
        <v>0.2545</v>
      </c>
    </row>
    <row r="11">
      <c r="A11" s="8" t="s">
        <v>72</v>
      </c>
      <c r="B11" s="29">
        <v>0.0</v>
      </c>
      <c r="C11" s="10" t="s">
        <v>83</v>
      </c>
      <c r="D11" s="11">
        <v>3.0</v>
      </c>
      <c r="E11" s="10" t="s">
        <v>84</v>
      </c>
      <c r="F11" s="11" t="b">
        <v>0</v>
      </c>
      <c r="G11" s="12" t="s">
        <v>85</v>
      </c>
      <c r="H11" s="9" t="b">
        <v>1</v>
      </c>
      <c r="I11" s="4" t="s">
        <v>86</v>
      </c>
      <c r="J11" s="9" t="b">
        <v>1</v>
      </c>
      <c r="K11" s="12" t="s">
        <v>87</v>
      </c>
      <c r="L11" s="9" t="b">
        <v>0</v>
      </c>
      <c r="M11" s="8" t="s">
        <v>88</v>
      </c>
      <c r="N11" s="30">
        <f>$B$13+IF($J$20,0.05,0)</f>
        <v>0.05</v>
      </c>
      <c r="O11" s="10" t="s">
        <v>89</v>
      </c>
      <c r="P11" s="24">
        <f>H8-B9-IF(H9,2250,0)-IF(H12,2550,0)+IF(AND(H9,H12),2250,0)-IF(H10,640,0)-IF(H11,505,0)</f>
        <v>516</v>
      </c>
    </row>
    <row r="12">
      <c r="A12" s="8" t="s">
        <v>90</v>
      </c>
      <c r="B12" s="9">
        <v>5.0</v>
      </c>
      <c r="C12" s="10" t="s">
        <v>91</v>
      </c>
      <c r="D12" s="11">
        <v>3.0</v>
      </c>
      <c r="E12" s="10" t="s">
        <v>92</v>
      </c>
      <c r="F12" s="11" t="b">
        <v>0</v>
      </c>
      <c r="G12" s="12" t="s">
        <v>93</v>
      </c>
      <c r="H12" s="9" t="b">
        <v>1</v>
      </c>
      <c r="I12" s="12" t="s">
        <v>94</v>
      </c>
      <c r="J12" s="9" t="b">
        <v>1</v>
      </c>
      <c r="K12" s="12" t="s">
        <v>95</v>
      </c>
      <c r="L12" s="9" t="b">
        <v>0</v>
      </c>
      <c r="M12" s="8" t="s">
        <v>96</v>
      </c>
      <c r="N12" s="24">
        <f>(17+(($N$10/5)*$N$11)+($N$9/2.5))+IF($J$22,10,0)+IF($J$21,15.6,0)</f>
        <v>44.47</v>
      </c>
      <c r="O12" s="31" t="s">
        <v>97</v>
      </c>
      <c r="P12" s="32">
        <f>P11 / (P11 + 400 + 85 * 60)</f>
        <v>0.0857712766</v>
      </c>
    </row>
    <row r="13">
      <c r="A13" s="8" t="s">
        <v>88</v>
      </c>
      <c r="B13" s="150">
        <v>0.0</v>
      </c>
      <c r="C13" s="10" t="s">
        <v>98</v>
      </c>
      <c r="D13" s="11">
        <v>3.0</v>
      </c>
      <c r="E13" s="10" t="s">
        <v>99</v>
      </c>
      <c r="F13" s="11" t="b">
        <v>0</v>
      </c>
      <c r="G13" s="12" t="s">
        <v>100</v>
      </c>
      <c r="H13" s="9" t="b">
        <v>0</v>
      </c>
      <c r="I13" s="12" t="s">
        <v>101</v>
      </c>
      <c r="J13" s="9" t="b">
        <v>1</v>
      </c>
      <c r="K13" s="12" t="s">
        <v>102</v>
      </c>
      <c r="L13" s="9" t="b">
        <v>0</v>
      </c>
      <c r="M13" s="8" t="s">
        <v>103</v>
      </c>
      <c r="N13" s="24">
        <f>1240+($N$8*15)</f>
        <v>6610</v>
      </c>
      <c r="O13" s="4" t="s">
        <v>104</v>
      </c>
      <c r="P13" s="16">
        <f>1-(($H$3-60)*0.02)</f>
        <v>0.94</v>
      </c>
    </row>
    <row r="14">
      <c r="A14" s="8" t="s">
        <v>105</v>
      </c>
      <c r="B14" s="9"/>
      <c r="C14" s="10" t="s">
        <v>106</v>
      </c>
      <c r="D14" s="11">
        <v>3.0</v>
      </c>
      <c r="E14" s="34" t="s">
        <v>107</v>
      </c>
      <c r="F14" s="9" t="b">
        <v>0</v>
      </c>
      <c r="G14" s="12" t="s">
        <v>108</v>
      </c>
      <c r="H14" s="149" t="b">
        <v>0</v>
      </c>
      <c r="I14" s="12" t="s">
        <v>109</v>
      </c>
      <c r="J14" s="9" t="b">
        <v>0</v>
      </c>
      <c r="K14" s="35" t="s">
        <v>110</v>
      </c>
      <c r="L14" s="53" t="b">
        <v>0</v>
      </c>
      <c r="M14" s="8" t="s">
        <v>111</v>
      </c>
      <c r="N14" s="28">
        <f>N13+(L2*2250)+(L3*1350)+(L4*1550)+(H2/2*N12)+((N19*59/60)*H2)+IF(J2="Water",130*(H2/H7),0)</f>
        <v>13975.23619</v>
      </c>
      <c r="O14" s="4" t="s">
        <v>112</v>
      </c>
      <c r="P14" s="20">
        <f>(MAX($H$15-$B$14-IF($H$17,25,0),0))</f>
        <v>0</v>
      </c>
    </row>
    <row r="15">
      <c r="A15" s="8" t="s">
        <v>113</v>
      </c>
      <c r="B15" s="9">
        <v>380.33</v>
      </c>
      <c r="C15" s="10" t="s">
        <v>114</v>
      </c>
      <c r="D15" s="11">
        <v>1.0</v>
      </c>
      <c r="E15" s="8" t="s">
        <v>115</v>
      </c>
      <c r="F15" s="9" t="b">
        <v>0</v>
      </c>
      <c r="G15" s="4" t="s">
        <v>116</v>
      </c>
      <c r="H15" s="9">
        <v>15.0</v>
      </c>
      <c r="I15" s="12" t="s">
        <v>117</v>
      </c>
      <c r="J15" s="9" t="b">
        <v>0</v>
      </c>
      <c r="K15" s="35" t="s">
        <v>118</v>
      </c>
      <c r="L15" s="133" t="b">
        <v>0</v>
      </c>
      <c r="M15" s="8" t="s">
        <v>113</v>
      </c>
      <c r="N15" s="15">
        <f>B15+IF(L16,150,0)+IF(L17,35,0)+IF(L18,55,0)+IF(L20,35,0)+IF(L21,15,0)+IF(L22,22,0)+IF(F25,132*P22,0)+IF($J$25,(60*(15/MAX(H2,15))))</f>
        <v>743.1031179</v>
      </c>
      <c r="O15" s="4" t="s">
        <v>119</v>
      </c>
      <c r="P15" s="20">
        <f>(MAX($H$16-$B$14-IF($H$18,75,0),0))</f>
        <v>0</v>
      </c>
    </row>
    <row r="16">
      <c r="A16" s="8" t="s">
        <v>120</v>
      </c>
      <c r="B16" s="9">
        <v>400.33</v>
      </c>
      <c r="C16" s="10" t="s">
        <v>121</v>
      </c>
      <c r="D16" s="11">
        <v>2.0</v>
      </c>
      <c r="E16" s="8" t="s">
        <v>122</v>
      </c>
      <c r="F16" s="9" t="b">
        <v>0</v>
      </c>
      <c r="G16" s="12" t="s">
        <v>123</v>
      </c>
      <c r="H16" s="9">
        <v>15.0</v>
      </c>
      <c r="I16" s="34" t="s">
        <v>124</v>
      </c>
      <c r="J16" s="53" t="b">
        <v>0</v>
      </c>
      <c r="K16" s="4" t="s">
        <v>125</v>
      </c>
      <c r="L16" s="11" t="b">
        <v>1</v>
      </c>
      <c r="M16" s="8" t="s">
        <v>120</v>
      </c>
      <c r="N16" s="15">
        <f>B16+IF(L16,150,0)+IF(L17,35,0)+IF(L19,40,0)+IF(L20,35,0)+IF(L21,15,0)+IF(L22,22,0)+IF(F25,132*P22,0)+IF($J$25,(60*(15/MAX(H2,15))))</f>
        <v>748.1031179</v>
      </c>
      <c r="O16" s="10" t="s">
        <v>126</v>
      </c>
      <c r="P16" s="16">
        <f>1 - EXP(
  -(
     (P10 * (1 - SUM(P2:P3)) / C43) + IF(J3="Windfury",(P10 * (1 - SUM(P2:P3)) / C44),0)
     + (MIN(1, P10 + 0.02 * D8) * (1 - SUM(P2:P3)) / C49)
     + (MIN(1, P10 + 0.02 * D8) * (1 - SUM(P2:P3)) / C46)
   ) * 10
)</f>
        <v>0.7889749436</v>
      </c>
    </row>
    <row r="17">
      <c r="A17" s="8" t="s">
        <v>127</v>
      </c>
      <c r="B17" s="25">
        <v>0.12</v>
      </c>
      <c r="C17" s="8" t="s">
        <v>128</v>
      </c>
      <c r="D17" s="11">
        <v>2.0</v>
      </c>
      <c r="E17" s="10" t="s">
        <v>129</v>
      </c>
      <c r="F17" s="11" t="b">
        <v>0</v>
      </c>
      <c r="G17" s="4" t="s">
        <v>130</v>
      </c>
      <c r="H17" s="9" t="b">
        <v>1</v>
      </c>
      <c r="I17" s="12" t="s">
        <v>131</v>
      </c>
      <c r="J17" s="9" t="b">
        <v>0</v>
      </c>
      <c r="K17" s="4" t="s">
        <v>132</v>
      </c>
      <c r="L17" s="11" t="b">
        <v>1</v>
      </c>
      <c r="M17" s="8" t="s">
        <v>127</v>
      </c>
      <c r="N17" s="16">
        <f>B17+(($N$8)/59.2)%+(IF(L21,2%,0))+2.5%+(IF(J16,3%,0))</f>
        <v>0.225472973</v>
      </c>
      <c r="O17" s="10" t="s">
        <v>133</v>
      </c>
      <c r="P17" s="16">
        <f>IF(D15,1-(((1-$P$10)^(5/C43))*(1-(1-SUM($P$2,$P$3))*$P$10)^2)*((1-MIN(IF($H$3=63,0.83+$N$18,0.96+$N$18-(($H$3-60)*0.01)),0.99)*($N$17+IF($F$10,0.1,0)+U8+IF($F$12,5%,0)))^2),0)</f>
        <v>0.8669305379</v>
      </c>
    </row>
    <row r="18">
      <c r="A18" s="8" t="s">
        <v>134</v>
      </c>
      <c r="B18" s="25">
        <v>0.03</v>
      </c>
      <c r="C18" s="10" t="s">
        <v>43</v>
      </c>
      <c r="D18" s="11">
        <v>0.0</v>
      </c>
      <c r="E18" s="10" t="s">
        <v>135</v>
      </c>
      <c r="F18" s="11" t="b">
        <v>1</v>
      </c>
      <c r="G18" s="4" t="s">
        <v>136</v>
      </c>
      <c r="H18" s="9" t="b">
        <v>1</v>
      </c>
      <c r="I18" s="4" t="s">
        <v>137</v>
      </c>
      <c r="J18" s="9" t="b">
        <v>1</v>
      </c>
      <c r="K18" s="4" t="s">
        <v>138</v>
      </c>
      <c r="L18" s="11" t="b">
        <v>1</v>
      </c>
      <c r="M18" s="8" t="s">
        <v>134</v>
      </c>
      <c r="N18" s="36">
        <f>$P$16*MIN(B18+(D11*1%)+IF(J20,1%,0)+(D11*0.03),16%)+(1-$P$16)*MIN(B18+(D11*1%)+IF(J20,1%,0),16%)</f>
        <v>0.1410077449</v>
      </c>
      <c r="O18" s="10" t="s">
        <v>139</v>
      </c>
      <c r="P18" s="36">
        <f>LET(
  miss, SUM($P$2,$P$3),
  wf_enabled, IF($J$3="Windfury", 1, 0),
  p_auto_base, $P$10 * (1 - miss),
  p_spell_base, MIN(1, $P$10 + 0.02 * $D$8) * (1 - miss),
  p_wf, $P$10 * (1 - miss),
  wf_chance, 0.2,
  wf_rolls, 2,
  p_auto_eff, p_auto_base + wf_enabled * wf_chance * (1 - (1 - p_wf)^wf_rolls) * (1 - p_auto_base),
  p_spell_eff, p_spell_base + wf_enabled * wf_chance * (1 - (1 - p_wf)^wf_rolls) * (1 - p_spell_base),
  r, p_auto_eff / MAX($C$43, 0.00001) + p_spell_eff / C49 + p_spell_eff / C46,
  a, 1 / MAX($C$43, 0.00001),
  rho, r / MAX(a, 0.00001),
  uptime_time, (rho * (3 + 3*rho + rho^2)) / (1 + rho)^3,
  uptime_time
)</f>
        <v>0.6975175497</v>
      </c>
    </row>
    <row r="19">
      <c r="A19" s="8" t="s">
        <v>140</v>
      </c>
      <c r="B19" s="154" t="s">
        <v>355</v>
      </c>
      <c r="E19" s="8" t="s">
        <v>142</v>
      </c>
      <c r="F19" s="53" t="b">
        <v>1</v>
      </c>
      <c r="G19" s="4" t="s">
        <v>143</v>
      </c>
      <c r="H19" s="9" t="b">
        <v>1</v>
      </c>
      <c r="I19" s="4" t="s">
        <v>144</v>
      </c>
      <c r="J19" s="9" t="b">
        <v>1</v>
      </c>
      <c r="K19" s="4" t="s">
        <v>145</v>
      </c>
      <c r="L19" s="11" t="b">
        <v>1</v>
      </c>
      <c r="M19" s="8" t="s">
        <v>146</v>
      </c>
      <c r="N19" s="37">
        <f>IF($H$21,((60/C43)+(60/C46*2)+(60/C49)+IF(J3="Windfury",(60/C44),0)+IF(J3="Flametongue",((60/C43)+(60/C46)+(60/C49)),0)+$F$72+12)*0.5*(1-SUM($P$3,$P$2)),0)</f>
        <v>41.20569814</v>
      </c>
      <c r="O19" s="10" t="s">
        <v>147</v>
      </c>
      <c r="P19" s="15">
        <f>IF(J3="Windfury",((60/C43)+(60/C49)+(60/C46))*0.2*(1-SUM($P$3,$P$2)),0)</f>
        <v>0</v>
      </c>
    </row>
    <row r="20">
      <c r="B20" s="38"/>
      <c r="E20" s="34" t="s">
        <v>148</v>
      </c>
      <c r="F20" s="9" t="b">
        <v>0</v>
      </c>
      <c r="G20" s="4" t="s">
        <v>149</v>
      </c>
      <c r="H20" s="9" t="b">
        <v>1</v>
      </c>
      <c r="I20" s="4" t="s">
        <v>150</v>
      </c>
      <c r="J20" s="9" t="b">
        <v>1</v>
      </c>
      <c r="K20" s="4" t="s">
        <v>151</v>
      </c>
      <c r="L20" s="11" t="b">
        <v>1</v>
      </c>
      <c r="N20" s="39"/>
      <c r="O20" s="10" t="s">
        <v>152</v>
      </c>
      <c r="P20" s="26">
        <f>IF($F$5,1-(0.65^(10/$C$51)),0)</f>
        <v>0</v>
      </c>
    </row>
    <row r="21">
      <c r="E21" s="10" t="s">
        <v>153</v>
      </c>
      <c r="F21" s="53" t="b">
        <v>1</v>
      </c>
      <c r="G21" s="12" t="s">
        <v>154</v>
      </c>
      <c r="H21" s="11" t="b">
        <v>1</v>
      </c>
      <c r="I21" s="4" t="s">
        <v>155</v>
      </c>
      <c r="J21" s="9" t="b">
        <v>1</v>
      </c>
      <c r="K21" s="4" t="s">
        <v>156</v>
      </c>
      <c r="L21" s="11" t="b">
        <v>1</v>
      </c>
      <c r="O21" s="8" t="s">
        <v>157</v>
      </c>
      <c r="P21" s="36">
        <f>IF($F$6,1-(0.85^(8/$C$46)),0)</f>
        <v>0.1418350877</v>
      </c>
    </row>
    <row r="22">
      <c r="A22" s="40" t="s">
        <v>158</v>
      </c>
      <c r="B22" s="41">
        <f>$I$61</f>
        <v>1042.108139</v>
      </c>
      <c r="D22" s="40">
        <v>1471.743</v>
      </c>
      <c r="E22" s="10" t="s">
        <v>159</v>
      </c>
      <c r="F22" s="53" t="b">
        <v>0</v>
      </c>
      <c r="I22" s="4" t="s">
        <v>160</v>
      </c>
      <c r="J22" s="9" t="b">
        <v>1</v>
      </c>
      <c r="K22" s="10" t="s">
        <v>161</v>
      </c>
      <c r="L22" s="11" t="b">
        <v>1</v>
      </c>
      <c r="O22" s="8" t="s">
        <v>162</v>
      </c>
      <c r="P22" s="36">
        <f>1-EXP(-(0.05/(60/$H$72))*10)</f>
        <v>0.3846448323</v>
      </c>
      <c r="V22" s="42"/>
      <c r="W22" s="42"/>
    </row>
    <row r="23">
      <c r="A23" s="40" t="s">
        <v>163</v>
      </c>
      <c r="B23" s="43">
        <f>$G$61</f>
        <v>1658.219584</v>
      </c>
      <c r="D23" s="8">
        <v>1441.781</v>
      </c>
      <c r="E23" s="10" t="s">
        <v>164</v>
      </c>
      <c r="F23" s="53" t="b">
        <v>0</v>
      </c>
      <c r="I23" s="12" t="s">
        <v>74</v>
      </c>
      <c r="J23" s="9" t="b">
        <v>1</v>
      </c>
      <c r="O23" s="8" t="s">
        <v>166</v>
      </c>
      <c r="P23" s="36">
        <f>1-EXP(-(0.2/(60/$H$72))*6)</f>
        <v>0.68818138</v>
      </c>
      <c r="V23" s="42"/>
      <c r="W23" s="42"/>
    </row>
    <row r="24">
      <c r="E24" s="8" t="s">
        <v>167</v>
      </c>
      <c r="F24" s="53" t="b">
        <v>0</v>
      </c>
      <c r="I24" s="12" t="s">
        <v>168</v>
      </c>
      <c r="J24" s="9" t="b">
        <v>0</v>
      </c>
      <c r="O24" s="8" t="s">
        <v>169</v>
      </c>
      <c r="P24" s="44">
        <f>1-EXP(-((E67*(1-SUM(P2:P3))/C43)+IF(J3="Windfury",(E67*(1-SUM(P2:P3))/C44),0)+(E67*(1-SUM(P2:P3))/C46)+(E67*(1-SUM(P2:P3))/C49))*20)</f>
        <v>0.4842293433</v>
      </c>
      <c r="V24" s="42"/>
      <c r="W24" s="42"/>
    </row>
    <row r="25">
      <c r="A25" s="45" t="s">
        <v>170</v>
      </c>
      <c r="B25" s="45" t="s">
        <v>171</v>
      </c>
      <c r="C25" s="45" t="s">
        <v>172</v>
      </c>
      <c r="E25" s="8" t="s">
        <v>173</v>
      </c>
      <c r="F25" s="53" t="b">
        <v>1</v>
      </c>
      <c r="I25" s="8" t="s">
        <v>174</v>
      </c>
      <c r="J25" s="9" t="b">
        <v>0</v>
      </c>
      <c r="K25" s="46" t="s">
        <v>175</v>
      </c>
      <c r="L25" s="47" t="s">
        <v>176</v>
      </c>
      <c r="M25" s="47" t="s">
        <v>177</v>
      </c>
      <c r="N25" s="48" t="s">
        <v>178</v>
      </c>
      <c r="V25" s="42"/>
      <c r="W25" s="42"/>
    </row>
    <row r="26">
      <c r="A26" s="18">
        <f>Sum(K43:K59)</f>
        <v>1</v>
      </c>
      <c r="B26" s="18">
        <f>K43+K46+K49+K44</f>
        <v>0.2776519332</v>
      </c>
      <c r="C26" s="18">
        <f>1-B26</f>
        <v>0.7223480668</v>
      </c>
      <c r="E26" s="8" t="s">
        <v>179</v>
      </c>
      <c r="F26" s="11">
        <v>0.0</v>
      </c>
      <c r="I26" s="10" t="s">
        <v>180</v>
      </c>
      <c r="J26" s="9" t="b">
        <v>0</v>
      </c>
      <c r="K26" s="49" t="s">
        <v>181</v>
      </c>
      <c r="L26" s="50">
        <f>(APWeight3!B23-B23)/100</f>
        <v>1.394645234</v>
      </c>
      <c r="M26" s="51">
        <f t="shared" ref="M26:M40" si="1">L26/$L$26</f>
        <v>1</v>
      </c>
      <c r="N26" s="52">
        <f t="shared" ref="N26:N40" si="2">L26/$L$35</f>
        <v>0.006373490947</v>
      </c>
      <c r="V26" s="42"/>
      <c r="W26" s="42"/>
    </row>
    <row r="27">
      <c r="I27" s="4" t="s">
        <v>183</v>
      </c>
      <c r="J27" s="9" t="b">
        <v>0</v>
      </c>
      <c r="K27" s="49" t="s">
        <v>184</v>
      </c>
      <c r="L27" s="50">
        <f>(StrWeight3!B23-B23)/100</f>
        <v>1.795472301</v>
      </c>
      <c r="M27" s="54">
        <f t="shared" si="1"/>
        <v>1.287404321</v>
      </c>
      <c r="N27" s="52">
        <f t="shared" si="2"/>
        <v>0.008205259785</v>
      </c>
      <c r="V27" s="42"/>
      <c r="W27" s="42"/>
    </row>
    <row r="28">
      <c r="I28" s="4" t="s">
        <v>186</v>
      </c>
      <c r="J28" s="9" t="b">
        <v>0</v>
      </c>
      <c r="K28" s="49" t="s">
        <v>187</v>
      </c>
      <c r="L28" s="50">
        <f>(AgiWeight3!B23-B23)/100</f>
        <v>1.474755449</v>
      </c>
      <c r="M28" s="54">
        <f t="shared" si="1"/>
        <v>1.057441285</v>
      </c>
      <c r="N28" s="52">
        <f t="shared" si="2"/>
        <v>0.006739592458</v>
      </c>
      <c r="V28" s="42"/>
      <c r="W28" s="42"/>
    </row>
    <row r="29">
      <c r="I29" s="4" t="s">
        <v>188</v>
      </c>
      <c r="J29" s="9" t="b">
        <v>0</v>
      </c>
      <c r="K29" s="49" t="s">
        <v>189</v>
      </c>
      <c r="L29" s="50">
        <f>(IntWeight3!B23-B23)/100</f>
        <v>1.249815175</v>
      </c>
      <c r="M29" s="54">
        <f t="shared" si="1"/>
        <v>0.8961527597</v>
      </c>
      <c r="N29" s="52">
        <f t="shared" si="2"/>
        <v>0.005711621501</v>
      </c>
      <c r="V29" s="42"/>
      <c r="W29" s="42"/>
    </row>
    <row r="30">
      <c r="K30" s="49" t="s">
        <v>190</v>
      </c>
      <c r="L30" s="50">
        <f>PhysCritWeight3!B23-B23</f>
        <v>115.9237649</v>
      </c>
      <c r="M30" s="54">
        <f t="shared" si="1"/>
        <v>83.12061168</v>
      </c>
      <c r="N30" s="52">
        <f t="shared" si="2"/>
        <v>0.5297684661</v>
      </c>
      <c r="V30" s="42"/>
      <c r="W30" s="42"/>
    </row>
    <row r="31">
      <c r="K31" s="49" t="s">
        <v>191</v>
      </c>
      <c r="L31" s="50">
        <f>PhysHitWeight3!B23-B23</f>
        <v>113.1252049</v>
      </c>
      <c r="M31" s="54">
        <f t="shared" si="1"/>
        <v>81.11396512</v>
      </c>
      <c r="N31" s="52">
        <f t="shared" si="2"/>
        <v>0.5169791224</v>
      </c>
      <c r="V31" s="42"/>
      <c r="W31" s="42"/>
    </row>
    <row r="32">
      <c r="K32" s="49" t="s">
        <v>192</v>
      </c>
      <c r="L32" s="50">
        <f>HasteWeight3!B23-B23</f>
        <v>114.1751598</v>
      </c>
      <c r="M32" s="54">
        <f t="shared" si="1"/>
        <v>81.86681243</v>
      </c>
      <c r="N32" s="52">
        <f t="shared" si="2"/>
        <v>0.5217773879</v>
      </c>
      <c r="V32" s="42"/>
      <c r="W32" s="42"/>
    </row>
    <row r="33">
      <c r="H33" s="56"/>
      <c r="I33" s="57"/>
      <c r="K33" s="49" t="s">
        <v>193</v>
      </c>
      <c r="L33" s="50">
        <f>(WepSkillWeight3!B23-B23)</f>
        <v>114.4947372</v>
      </c>
      <c r="M33" s="54">
        <f t="shared" si="1"/>
        <v>82.09595843</v>
      </c>
      <c r="N33" s="52">
        <f t="shared" si="2"/>
        <v>0.5232378478</v>
      </c>
      <c r="V33" s="42"/>
      <c r="W33" s="42"/>
    </row>
    <row r="34">
      <c r="K34" s="49" t="s">
        <v>194</v>
      </c>
      <c r="L34" s="50">
        <f>ArPWeight3!B23-B23</f>
        <v>109.197528</v>
      </c>
      <c r="M34" s="54">
        <f t="shared" si="1"/>
        <v>78.29770991</v>
      </c>
      <c r="N34" s="52">
        <f t="shared" si="2"/>
        <v>0.4990297453</v>
      </c>
    </row>
    <row r="35">
      <c r="K35" s="49" t="s">
        <v>195</v>
      </c>
      <c r="L35" s="50">
        <f>L37+L36</f>
        <v>218.8196776</v>
      </c>
      <c r="M35" s="54">
        <f t="shared" si="1"/>
        <v>156.8998855</v>
      </c>
      <c r="N35" s="58">
        <f t="shared" si="2"/>
        <v>1</v>
      </c>
    </row>
    <row r="36">
      <c r="K36" s="49" t="s">
        <v>196</v>
      </c>
      <c r="L36" s="50">
        <f>NatureWeight3!B23-B23</f>
        <v>109.2468938</v>
      </c>
      <c r="M36" s="54">
        <f t="shared" si="1"/>
        <v>78.33310661</v>
      </c>
      <c r="N36" s="52">
        <f t="shared" si="2"/>
        <v>0.4992553459</v>
      </c>
    </row>
    <row r="37">
      <c r="K37" s="49" t="s">
        <v>197</v>
      </c>
      <c r="L37" s="50">
        <f>FireWeight3!B23-B23</f>
        <v>109.5727838</v>
      </c>
      <c r="M37" s="54">
        <f t="shared" si="1"/>
        <v>78.56677891</v>
      </c>
      <c r="N37" s="52">
        <f t="shared" si="2"/>
        <v>0.5007446541</v>
      </c>
    </row>
    <row r="38">
      <c r="K38" s="49" t="s">
        <v>198</v>
      </c>
      <c r="L38" s="50">
        <f>SpellCritWeight3!B23-B23</f>
        <v>117.2749645</v>
      </c>
      <c r="M38" s="54">
        <f t="shared" si="1"/>
        <v>84.08945991</v>
      </c>
      <c r="N38" s="52">
        <f t="shared" si="2"/>
        <v>0.5359434115</v>
      </c>
    </row>
    <row r="39">
      <c r="K39" s="49" t="s">
        <v>199</v>
      </c>
      <c r="L39" s="50">
        <f>(SpellHitWeight3!B23-B23)</f>
        <v>110.7647405</v>
      </c>
      <c r="M39" s="54">
        <f t="shared" si="1"/>
        <v>79.4214455</v>
      </c>
      <c r="N39" s="52">
        <f t="shared" si="2"/>
        <v>0.5061918639</v>
      </c>
    </row>
    <row r="40">
      <c r="K40" s="59" t="s">
        <v>200</v>
      </c>
      <c r="L40" s="60">
        <f>SpellPenWeight3!B23-B23</f>
        <v>109.0988366</v>
      </c>
      <c r="M40" s="61">
        <f t="shared" si="1"/>
        <v>78.22694538</v>
      </c>
      <c r="N40" s="62">
        <f t="shared" si="2"/>
        <v>0.4985787282</v>
      </c>
    </row>
    <row r="42">
      <c r="A42" s="63" t="s">
        <v>201</v>
      </c>
      <c r="B42" s="64" t="s">
        <v>202</v>
      </c>
      <c r="C42" s="65" t="s">
        <v>203</v>
      </c>
      <c r="D42" s="66" t="s">
        <v>204</v>
      </c>
      <c r="E42" s="66" t="s">
        <v>205</v>
      </c>
      <c r="F42" s="67" t="s">
        <v>206</v>
      </c>
      <c r="G42" s="67" t="s">
        <v>207</v>
      </c>
      <c r="H42" s="68" t="s">
        <v>208</v>
      </c>
      <c r="I42" s="69" t="s">
        <v>163</v>
      </c>
      <c r="J42" s="70" t="s">
        <v>158</v>
      </c>
      <c r="K42" s="69" t="s">
        <v>209</v>
      </c>
      <c r="L42" s="69" t="s">
        <v>210</v>
      </c>
      <c r="M42" s="69" t="s">
        <v>211</v>
      </c>
      <c r="N42" s="69" t="s">
        <v>212</v>
      </c>
    </row>
    <row r="43">
      <c r="A43" s="71" t="s">
        <v>213</v>
      </c>
      <c r="B43" s="72">
        <f t="shared" ref="B43:B45" si="3">$F$4</f>
        <v>3.7</v>
      </c>
      <c r="C43" s="2">
        <f>$F$4/(1+$N$7)</f>
        <v>3.147645231</v>
      </c>
      <c r="D43" s="73"/>
      <c r="E43" s="73">
        <f>14/F4</f>
        <v>3.783783784</v>
      </c>
      <c r="F43" s="74">
        <f>($F$2+($N$3/E43))*(1+U8)*IF($H$13,1.04,1)*(1-$P$12)+IF($H14,8,0)</f>
        <v>628.5648984</v>
      </c>
      <c r="G43" s="74">
        <f>($F$3+($N$3/E43))*(1+U8)*IF($H$13,1.04,1)*(1-$P$12)+IF($H14,8,0)</f>
        <v>775.6825845</v>
      </c>
      <c r="H43" s="74">
        <f>((AVERAGE(F43,G43)*1*(1-$P$5))+(AVERAGE(F43,G43)*$P$7*$P$5))*(1+$P$10)*(1-$P$2-$P$3)-($P$4*$P$6)</f>
        <v>801.5550456</v>
      </c>
      <c r="I43" s="75">
        <f>H43/C43</f>
        <v>254.6522835</v>
      </c>
      <c r="J43" s="76">
        <f>I43*(IF($J$3="Rockbiter",1+U3,1)+IF(AND($J$3="Rockbiter",$F$11),U3*U4,0))*IF($J$6,0.75,1)*IF($J$7,0.8,1)*IF($F$17,1.02,1)*IF($F$18,0.98,1)*(1-U7)*(1+U5)</f>
        <v>155.9870016</v>
      </c>
      <c r="K43" s="18">
        <f t="shared" ref="K43:K52" si="4">I43/$B$23</f>
        <v>0.1535696997</v>
      </c>
      <c r="L43" s="74"/>
      <c r="M43" s="74"/>
      <c r="N43" s="2"/>
    </row>
    <row r="44">
      <c r="A44" s="71" t="s">
        <v>214</v>
      </c>
      <c r="B44" s="72">
        <f t="shared" si="3"/>
        <v>3.7</v>
      </c>
      <c r="C44" s="2">
        <f>IF($J$3="Windfury",60/(P19*2),0)</f>
        <v>0</v>
      </c>
      <c r="D44" s="73"/>
      <c r="E44" s="73"/>
      <c r="F44" s="74">
        <f>($F$2+(($N$3)/$E$43))*(1+U8)*IF($H$13,1.04,1)*(1-$P$12)+IF($H14,8,0)</f>
        <v>628.5648984</v>
      </c>
      <c r="G44" s="74">
        <f>($F$3+(($N$3)/$E$43))*(1+U8)*IF($H$13,1.04,1)*(1-$P$12)+IF($H14,8,0)</f>
        <v>775.6825845</v>
      </c>
      <c r="H44" s="74">
        <f>(((AVERAGE(F44,G44)*1*(1-$P$5))+(AVERAGE(F44,G44)*$P$7*$P$5))*(1+$P$10)*(1-$P$2-$P$3)-($P$4*$P$6))*IF($J$3="Windfury",1,0)</f>
        <v>0</v>
      </c>
      <c r="I44" s="75">
        <f>IF($J$3="Windfury",(H44/C44),0)</f>
        <v>0</v>
      </c>
      <c r="J44" s="76">
        <f>I44*(IF($J$3="Rockbiter",1+U3,1)+IF(AND($J$3="Rockbiter",$F$11),U3*U4,0))*IF($J$6,0.7,1)*IF($J$7,0.8,1)*IF($F$17,1.02,1)*IF($F$18,0.98,1)*(1-U7)*(1+U5)</f>
        <v>0</v>
      </c>
      <c r="K44" s="18">
        <f t="shared" si="4"/>
        <v>0</v>
      </c>
      <c r="L44" s="74"/>
      <c r="M44" s="74"/>
      <c r="N44" s="2"/>
    </row>
    <row r="45">
      <c r="A45" s="71" t="s">
        <v>215</v>
      </c>
      <c r="B45" s="72">
        <f t="shared" si="3"/>
        <v>3.7</v>
      </c>
      <c r="C45" s="2">
        <f>$F$4/(1+$N$7)</f>
        <v>3.147645231</v>
      </c>
      <c r="D45" s="127">
        <f>0.1</f>
        <v>0.1</v>
      </c>
      <c r="E45" s="73"/>
      <c r="F45" s="74">
        <f>(29.5*$F$4+(D45*$N$16))*(1+(IF(J3="Flametongue",0.1*$D$12,0))+($D$14*0.05)+($D$17*0.05)+($D$9*0.01))*IF($H$18,1.1,1)*IF($H$19,1.15,1)*IF($H$20,1.1,1)</f>
        <v>409.5692382</v>
      </c>
      <c r="G45" s="74">
        <f>(29.5*$F$4+(D45*$N$16))*(1+(IF(J3="Flametongue",0.1*$D$12,0))+($D$14*0.05)+($D$17*0.05)+($D$9*0.01))*IF($H$18,1.1,1)*IF($H$19,1.15,1)*IF($H$20,1.1,1)</f>
        <v>409.5692382</v>
      </c>
      <c r="H45" s="74">
        <f>F45*(1+($N$17+$U$8)/(2-D17*0.5))*MIN(IF($H$3=63,0.83+$N$18,0.96+$N$18-(($H$3-60)*0.01)),0.99)*IF($J$3="Flametongue",1,0)*((1-$P$15*0.0025)*$P$13)*(1-$P$2)</f>
        <v>460.6995173</v>
      </c>
      <c r="I45" s="75">
        <f>IF($J$3="Flametongue",(H45/C45)+(H45/C46)+(H45/C49))</f>
        <v>261.9897738</v>
      </c>
      <c r="J45" s="76">
        <f>I45*(IF($J$3="Rockbiter",1+U3,1)+IF(AND($J$3="Rockbiter",$F$11),U3*U4,0))*IF($J$6,0.7,1)*IF($J$7,0.8,1)*IF($F$17,1.02,1)*IF($F$18,0.98,1)*(1-U7)*(1+U5)</f>
        <v>149.7828023</v>
      </c>
      <c r="K45" s="18">
        <f t="shared" si="4"/>
        <v>0.1579946205</v>
      </c>
      <c r="L45" s="74"/>
      <c r="M45" s="74"/>
      <c r="N45" s="2"/>
    </row>
    <row r="46">
      <c r="A46" s="71" t="s">
        <v>216</v>
      </c>
      <c r="B46" s="78">
        <v>1.5</v>
      </c>
      <c r="C46" s="71">
        <f t="shared" ref="C46:C48" si="5">IF($F$10,8.5,9)</f>
        <v>8.5</v>
      </c>
      <c r="D46" s="73"/>
      <c r="E46" s="73">
        <f>14/F4</f>
        <v>3.783783784</v>
      </c>
      <c r="F46" s="74">
        <f>F43*(0.6+(U8*0.6))</f>
        <v>407.3100541</v>
      </c>
      <c r="G46" s="74">
        <f>$F$44*(0.6+(U8*0.6))</f>
        <v>407.3100541</v>
      </c>
      <c r="H46" s="74">
        <f>(AVERAGE(F46,G46)*(1+($P$10+IF($F$10,0.1)+U8)*(1-$P$2-$P$3)))-($P$4*$P$6)</f>
        <v>574.3756044</v>
      </c>
      <c r="I46" s="75">
        <f t="shared" ref="I46:I47" si="6">H46/C46</f>
        <v>67.57360052</v>
      </c>
      <c r="J46" s="76">
        <f>I46*(IF($J$3="Rockbiter",1+U3,1)+IF(AND($J$3="Rockbiter",$F$11),U3*U4,0))*IF($J$6,0.75,1)*IF($J$7,0.8,1)*IF($F$17,1.02,1)*IF($F$18,0.98,1)*(1-U7)*(1+U5)</f>
        <v>41.39214143</v>
      </c>
      <c r="K46" s="18">
        <f t="shared" si="4"/>
        <v>0.04075069502</v>
      </c>
      <c r="L46" s="80">
        <f>IF($J$2="Lightning",(182*(1-J26*0.2)),(182*(1-J26*0.2))-(150+($N$3/10)))-($P$17*0.6*182)</f>
        <v>87.33118526</v>
      </c>
      <c r="M46" s="74">
        <f>L46/C46</f>
        <v>10.27425709</v>
      </c>
      <c r="N46" s="2"/>
    </row>
    <row r="47">
      <c r="A47" s="71" t="s">
        <v>217</v>
      </c>
      <c r="B47" s="78">
        <v>1.5</v>
      </c>
      <c r="C47" s="71">
        <f t="shared" si="5"/>
        <v>8.5</v>
      </c>
      <c r="D47" s="82">
        <v>0.05</v>
      </c>
      <c r="E47" s="73">
        <f>14/F4</f>
        <v>3.783783784</v>
      </c>
      <c r="F47" s="74">
        <f>($F$2+($N$3/E43))*(1+U8)*(0.2)+($D$47*$N$15)*IF($H$20,1.1,1)</f>
        <v>178.3778143</v>
      </c>
      <c r="G47" s="74">
        <f>($F$3+($N$3/E43))*(1+U8)*(0.2)+($D$47*$N$15)*IF($H$20,1.1,1)</f>
        <v>210.5618143</v>
      </c>
      <c r="H47" s="74">
        <f>AVERAGE(F47,G47)*((1+($P$10+IF($F$10,0.1)+U8))*(1-$P$2-$P$3)*MIN(IF($H$3=63,0.83+$N$18,0.96+$N$18-(($H$3-60)*0.01)),0.99))*((1-$P$14*0.0025)*$P$13)</f>
        <v>240.3672495</v>
      </c>
      <c r="I47" s="75">
        <f t="shared" si="6"/>
        <v>28.27849995</v>
      </c>
      <c r="J47" s="76">
        <f>I47*(IF($J$3="Rockbiter",1+U3,1)+IF(AND($J$3="Rockbiter",$F$11),U3*U4,0))*IF($J$6,0.75,1)*IF($J$7,0.8,1)*IF($F$17,1.02,1)*IF($F$18,0.98,1)*(1-U7)*(1+U5)</f>
        <v>17.32196686</v>
      </c>
      <c r="K47" s="18">
        <f t="shared" si="4"/>
        <v>0.01705353153</v>
      </c>
      <c r="L47" s="80"/>
      <c r="M47" s="74"/>
      <c r="N47" s="2"/>
    </row>
    <row r="48">
      <c r="A48" s="71" t="s">
        <v>218</v>
      </c>
      <c r="B48" s="78">
        <v>1.5</v>
      </c>
      <c r="C48" s="71">
        <f t="shared" si="5"/>
        <v>8.5</v>
      </c>
      <c r="D48" s="82">
        <v>0.265</v>
      </c>
      <c r="E48" s="82">
        <v>0.25</v>
      </c>
      <c r="F48" s="74">
        <f>IF($J$2="Lightning",(198+(D48*N15)+(E48*$N$3))*IF($J$23,1+U9,1)*IF($F$12,1.15,1)*(1+(D17*0.05)+(D9*0.01))*IF($H$20,1.1,1)*IF(J26,1.15,1),0)</f>
        <v>1243.134991</v>
      </c>
      <c r="G48" s="74">
        <f>IF($J$2="Lightning",(198+(D48*N15)+(E48*$N$3))*IF($J$23,1+U9,1)*IF($F$12,1.15,1)*(1+(D17*0.05)+(D9*0.01))*IF($H$20,1.1,1)*IF(J26,1.15,1),0)</f>
        <v>1243.134991</v>
      </c>
      <c r="H48" s="74">
        <f>G48*((1-$P$14*0.0025)*$P$13)</f>
        <v>1168.546891</v>
      </c>
      <c r="I48" s="75">
        <f>IF(F15,((H48/C48)+(H48/C43)*0.15+(H48/C46)*0.15+(H48/C49)*0.15+IF(J3="Windfury",H48/C44,0)*0.15)*(1-P2),(H48/C48)*(1-P2))</f>
        <v>129.777443</v>
      </c>
      <c r="J48" s="76">
        <f>IF($J$2="Lightning",I48*(IF($J$3="Rockbiter",1+U3,1)+IF(AND($J$3="Rockbiter",$F$11),U3*U4,0))*IF($J$6,0.75,1)*IF($J$7,0.8,1)*IF($F$17,1.02,1)*IF($F$18,0.98,1)*(1+U5),((150+($N$3/10))/2)*(IF($J$3="Rockbiter",1+U3,1)+IF(AND($J$3="Rockbiter",$F$11),U3*U4,0))*IF($J$6,0.7,1)*IF($J$7,0.8,1)*IF($F$17,1.02,1)*IF($F$18,0.98,1)*(1+U5))</f>
        <v>95.3864206</v>
      </c>
      <c r="K48" s="18">
        <f t="shared" si="4"/>
        <v>0.07826312286</v>
      </c>
      <c r="L48" s="80">
        <f>IF($J$2="Lightning",(182*(1-J26*0.2)),(182*(1-J26*0.2))-(150+($N$3/10)))-($P$17*0.6*182)</f>
        <v>87.33118526</v>
      </c>
      <c r="M48" s="74">
        <f t="shared" ref="M48:M51" si="7">L48/C48</f>
        <v>10.27425709</v>
      </c>
      <c r="N48" s="2"/>
    </row>
    <row r="49">
      <c r="A49" s="71" t="s">
        <v>74</v>
      </c>
      <c r="B49" s="78">
        <v>1.5</v>
      </c>
      <c r="C49" s="71">
        <f>IF($F$10,7.5,8)</f>
        <v>7.5</v>
      </c>
      <c r="D49" s="73"/>
      <c r="E49" s="83">
        <f>14/F4</f>
        <v>3.783783784</v>
      </c>
      <c r="F49" s="74">
        <f>F43*(1.01+U8)</f>
        <v>685.1357392</v>
      </c>
      <c r="G49" s="74">
        <f>$G$43*(1.01+U8)</f>
        <v>845.4940171</v>
      </c>
      <c r="H49" s="74">
        <f>AVERAGE(F49,G49)*(1+($P$10+IF($F$10,0.1)+U8))*(1-$P$2-$P$3)-($P$4*$P$6)</f>
        <v>1036.364918</v>
      </c>
      <c r="I49" s="75">
        <f>H49/C49</f>
        <v>138.1819891</v>
      </c>
      <c r="J49" s="76">
        <f>I49*(IF($J$3="Rockbiter",1+U3,1)+IF(AND($J$3="Rockbiter",$F$11),U3*U4,0))*IF($J$6,0.75,1)*IF($J$7,0.8,1)*IF($F$17,1.02,1)*IF($F$18,0.98,1)*(1-U7)*(1+U5)</f>
        <v>84.64323922</v>
      </c>
      <c r="K49" s="18">
        <f t="shared" si="4"/>
        <v>0.08333153849</v>
      </c>
      <c r="L49" s="80">
        <f>(152*(1-J26*0.2))-($P$17*0.6*152)</f>
        <v>72.93593495</v>
      </c>
      <c r="M49" s="74">
        <f t="shared" si="7"/>
        <v>9.724791326</v>
      </c>
      <c r="N49" s="2"/>
    </row>
    <row r="50">
      <c r="A50" s="71" t="s">
        <v>219</v>
      </c>
      <c r="B50" s="78">
        <v>1.5</v>
      </c>
      <c r="C50" s="71">
        <f t="shared" ref="C50:C51" si="8">6-($D$13*(1/3))</f>
        <v>5</v>
      </c>
      <c r="D50" s="84">
        <v>0.386</v>
      </c>
      <c r="E50" s="82">
        <v>0.1</v>
      </c>
      <c r="F50" s="80">
        <f>(492+(E50*$N$3)+(D50*$N$15)+IF(F7,30,0))*(1+(0.01*$D$9)+($D$17*0.05))*IF($J$23,1+U9,1)*IF(F14,1.1,1)*IF(J26,1.15,1)*IF($H$20,1.1,1)</f>
        <v>1526.440402</v>
      </c>
      <c r="G50" s="80">
        <f>(520+(E50*$N$3)+(D50*$N$15)+IF(F7,30,0))*(1+(0.01*$D$9)+($D$17*0.05))*IF($J$23,1+U9,1)*IF(F14,1.1,1)*IF(J26,1.15,1)*IF($H$20,1.1,1)</f>
        <v>1570.715402</v>
      </c>
      <c r="H50" s="80">
        <f>(AVERAGE(F50,G50))*(1+(($N$17+IF($F$10,0.1,0)+U8+IF($F$13,0.05,0))/(2-D17*0.5)))*MIN(IF($H$3=63,0.83+$N$18,0.96+$N$18-(($H$3-60)*0.01)),0.99)*((1-$P$14*0.0025)*$P$13)</f>
        <v>1986.580205</v>
      </c>
      <c r="I50" s="75">
        <f>H50*2/15</f>
        <v>264.8773607</v>
      </c>
      <c r="J50" s="76">
        <f>I50*(IF($J$3="Rockbiter",1+U3,1)+IF(AND($J$3="Rockbiter",$F$11),U3*U4,0))*IF($J$6,0.75,1)*IF($J$7,0.8,1)*IF($F$17,1.02,1)*IF($F$18,0.98,1)*1.5*(1+U5)</f>
        <v>292.0272902</v>
      </c>
      <c r="K50" s="18">
        <f t="shared" si="4"/>
        <v>0.1597359984</v>
      </c>
      <c r="L50" s="80">
        <f>(450*(1-($D$10*0.02))*(1-J26*0.2))-($P$17*0.6*450)</f>
        <v>197.9287548</v>
      </c>
      <c r="M50" s="74">
        <f t="shared" si="7"/>
        <v>39.58575095</v>
      </c>
      <c r="N50" s="2"/>
    </row>
    <row r="51">
      <c r="A51" s="71" t="s">
        <v>220</v>
      </c>
      <c r="B51" s="78">
        <v>1.5</v>
      </c>
      <c r="C51" s="71">
        <f t="shared" si="8"/>
        <v>5</v>
      </c>
      <c r="D51" s="84">
        <v>0.1495</v>
      </c>
      <c r="E51" s="84">
        <v>0.06</v>
      </c>
      <c r="F51" s="80">
        <f>(293+(E51*$N$3)+(D51*$N$16)+IF($F$7,30,0))*(1+(0.01*$D$9)+($D$14*0.05)+(D17*0.05)+(IF(J3="Flametongue",0.1*$D$12,0))+(IF(F14,0.1,0))*IF($H$18,1.1,1)*IF($H$19,1.15,1)*IF(F14,1.1,1)*IF(J26,1.15,1)*IF($H$20,1.1,1))</f>
        <v>845.9862658</v>
      </c>
      <c r="G51" s="80">
        <f>(293+(E51*$N$3)+(D51*$N$16)+IF($F$7,30,0))*(1+(0.01*$D$9)+($D$14*0.05)+(D17*0.05)+(IF(J3="Flametongue",0.1*$D$12,0))+(IF(F14,0.1,0))*IF($H$18,1.1,1)*IF($H$19,1.15,1)*IF(F14,1.1,1)*IF(J26,1.15,1)*IF($H$20,1.1,1))</f>
        <v>845.9862658</v>
      </c>
      <c r="H51" s="80">
        <f>(AVERAGE(F51,G51))*(1+(($N$17+IF($F$10,0.1,0)+U8+IF($F$13,0.05,0))/(2-D17*0.5)))*MIN(IF($H$3=63,0.83+$N$18,0.96+$N$18-(($H$3-60)*0.01)),0.99)*((1-$P$15*0.0025)*$P$13)</f>
        <v>1085.266403</v>
      </c>
      <c r="I51" s="75">
        <f t="shared" ref="I51:I52" si="9">H51/15</f>
        <v>72.35109354</v>
      </c>
      <c r="J51" s="76">
        <f>I51*(IF($J$3="Rockbiter",1+U3,1)+IF(AND($J$3="Rockbiter",$F$11),U3*U4,0))*IF($J$6,0.75,1)*IF($J$7,0.8,1)*IF($F$17,1.02,1)*IF($F$18,0.98,1)*(1+U5)</f>
        <v>53.17805375</v>
      </c>
      <c r="K51" s="18">
        <f t="shared" si="4"/>
        <v>0.04363179295</v>
      </c>
      <c r="L51" s="80">
        <f>(410*(1-($D$10*0.02))*(1-J26*0.2)-($P$17*0.6*450))</f>
        <v>159.5287548</v>
      </c>
      <c r="M51" s="74">
        <f t="shared" si="7"/>
        <v>31.90575095</v>
      </c>
      <c r="N51" s="2"/>
    </row>
    <row r="52">
      <c r="A52" s="71" t="s">
        <v>221</v>
      </c>
      <c r="B52" s="78">
        <v>1.5</v>
      </c>
      <c r="C52" s="71">
        <v>1.5</v>
      </c>
      <c r="D52" s="82">
        <v>0.1302</v>
      </c>
      <c r="E52" s="84">
        <v>0.015</v>
      </c>
      <c r="F52" s="80">
        <f>(82+(E52*$N$3)+(D52*$N$16)+IF($F$7,30,0))*(1+(0.01*$D$9)+($D$14*0.05)+(D17*0.05)+(IF(J3="Flametongue",0.1*$D$12,0))+(IF(F14,0.1,0))*IF($H$18,1.1,1)*IF($H$19,1.15,1)*IF(F14,1.1,1)*IF(J26,1.15,1)*IF($H$20,1.1,1))</f>
        <v>372.6048415</v>
      </c>
      <c r="G52" s="80">
        <f>(82+(E52*$N$3)+(D52*$N$16)+IF($F$7,30,0))*(1+(0.01*$D$9)+($D$14*0.05)+(D17*0.05)+(IF(J3="Flametongue",0.1*$D$12,0))+(IF(F14,0.1,0))*IF($H$18,1.1,1)*IF($H$19,1.15,1)*IF(F14,1.1,1)*IF(J26,1.15,1)*IF($H$20,1.1,1))</f>
        <v>372.6048415</v>
      </c>
      <c r="H52" s="80">
        <f>(AVERAGE(F52,G52))*MIN(IF($H$3=63,0.83+$N$18,0.96+$N$18-(($H$3-60)*0.01)),0.99)*((1-$P$15*0.0025)*$P$13)*5</f>
        <v>1700.470278</v>
      </c>
      <c r="I52" s="75">
        <f t="shared" si="9"/>
        <v>113.3646852</v>
      </c>
      <c r="J52" s="76">
        <f>I52*(IF($J$3="Rockbiter",1+U3,1)+IF(AND($J$3="Rockbiter",$F$11),U3*U4,0))*IF($J$6,0.75,1)*IF($J$7,0.8,1)*IF($F$17,1.02,1)*IF($F$18,0.98,1)*(1+U5)</f>
        <v>83.32304364</v>
      </c>
      <c r="K52" s="18">
        <f t="shared" si="4"/>
        <v>0.06836530358</v>
      </c>
      <c r="L52" s="74"/>
      <c r="M52" s="74"/>
      <c r="N52" s="2"/>
    </row>
    <row r="53">
      <c r="A53" s="71" t="s">
        <v>222</v>
      </c>
      <c r="B53" s="78">
        <v>3.5</v>
      </c>
      <c r="C53" s="2">
        <f t="shared" ref="C53:C54" si="10">$H$7</f>
        <v>4</v>
      </c>
      <c r="D53" s="82">
        <v>0.27</v>
      </c>
      <c r="E53" s="73"/>
      <c r="F53" s="74">
        <f>(198+($N$15*$D$53))*(1+(D17*0.05)+(D9*0.01))*IF(J26,1.15,1)*IF($H$20,1.1,1)*IF(J23,1+U9,1)</f>
        <v>630.3460874</v>
      </c>
      <c r="G53" s="74">
        <f>(198+($N$15*$D$53))*(1+(D17*0.05)+(D9*0.01))*IF(J26,1.15,1)*IF($H$20,1.1,1)*IF(J23,1+U9,1)</f>
        <v>630.3460874</v>
      </c>
      <c r="H53" s="74">
        <f>F53*((1-$P$14*0.0025)*$P$13)</f>
        <v>592.5253221</v>
      </c>
      <c r="I53" s="75">
        <f>IF(H6,H53/H7,0)</f>
        <v>0</v>
      </c>
      <c r="J53" s="76">
        <f>I53*(IF($J$3="Rockbiter",1+U3,1)+IF(AND($J$3="Rockbiter",$F$11),U3*U4,0))*IF($J$6,0.75,1)*IF($J$7,0.8,1)*IF($F$17,1.02,1)*IF($F$18,0.98,1)*(1+U5)</f>
        <v>0</v>
      </c>
      <c r="K53" s="18">
        <f>IF(H6,I53/$B$23,0)</f>
        <v>0</v>
      </c>
      <c r="L53" s="74">
        <f>370</f>
        <v>370</v>
      </c>
      <c r="M53" s="74">
        <f>L53/(9*H7)</f>
        <v>10.27777778</v>
      </c>
      <c r="N53" s="2"/>
    </row>
    <row r="54">
      <c r="A54" s="13" t="s">
        <v>223</v>
      </c>
      <c r="B54" s="78">
        <v>3.5</v>
      </c>
      <c r="C54" s="2">
        <f t="shared" si="10"/>
        <v>4</v>
      </c>
      <c r="D54" s="73"/>
      <c r="E54" s="73"/>
      <c r="F54" s="80" t="s">
        <v>224</v>
      </c>
      <c r="G54" s="80" t="s">
        <v>224</v>
      </c>
      <c r="H54" s="80" t="s">
        <v>224</v>
      </c>
      <c r="I54" s="85" t="s">
        <v>224</v>
      </c>
      <c r="J54" s="76">
        <f>65/H7</f>
        <v>16.25</v>
      </c>
      <c r="K54" s="86" t="s">
        <v>224</v>
      </c>
      <c r="L54" s="80">
        <v>-130.0</v>
      </c>
      <c r="M54" s="74">
        <f>-130/H7</f>
        <v>-32.5</v>
      </c>
      <c r="N54" s="2"/>
    </row>
    <row r="55">
      <c r="A55" s="87" t="s">
        <v>225</v>
      </c>
      <c r="B55" s="78">
        <v>2.2</v>
      </c>
      <c r="C55" s="71">
        <f>2.2*(1-D16*0.1)</f>
        <v>1.76</v>
      </c>
      <c r="D55" s="84">
        <v>0.1</v>
      </c>
      <c r="E55" s="73"/>
      <c r="F55" s="74">
        <f>(40+(D55*$N$16))*(1+($D$14*0.05)+(IF(J3="Flametongue",($D$12*0.1),0))+($D$17*0.05)+($D$9*0.01))*IF($H$18,1.1,1)*IF($H$19,1.15,1)*IF($H$20,1.1,1)</f>
        <v>255.6136782</v>
      </c>
      <c r="G55" s="74">
        <f>(54+(D55*$N$16))*(1+($D$14*0.05)+(IF(J3="Flametongue",($D$12*0.1),0))+($D$17*0.05)+($D$9*0.01))*IF($H$18,1.1,1)*IF($H$19,1.15,1)*IF($H$20,1.1,1)</f>
        <v>286.7832782</v>
      </c>
      <c r="H55" s="74">
        <f>AVERAGE(F55,G55)*(1+(($N$17+$U$8)/(2-D17*0.5)))*MIN(IF($H$3=63,0.83+$N$18,0.96+$N$18-(($H$3-60)*0.01)),0.99)*((1-$P$15*0.0025)*$P$13)</f>
        <v>323.1511314</v>
      </c>
      <c r="I55" s="75">
        <f>IF(J4="Searing",H55/C55,0)+IF(J4="Nova+Searing",((H55*(ROUNDDOWN((15-(4-D16))/C55,0)))/15),0)</f>
        <v>150.8038613</v>
      </c>
      <c r="J55" s="71">
        <f>(H55/C55)*(IF($J$3="Rockbiter",1+U3,1)+IF(AND($J$3="Rockbiter",$F$11),U3*U4,0))*IF($J$6,0.7,1)*IF($J$7,0.8,1)*IF($F$17,1.02,1)*IF($F$18,0.98,1)*(0+U2)*(1+U5)</f>
        <v>0</v>
      </c>
      <c r="K55" s="18">
        <f>IF(J4="Searing",I55/$B$23,0)+IF(J4="Nova+Searing",I55/B23,0)</f>
        <v>0.09094323985</v>
      </c>
      <c r="L55" s="80">
        <v>170.0</v>
      </c>
      <c r="M55" s="74">
        <f>L55/55</f>
        <v>3.090909091</v>
      </c>
      <c r="N55" s="2"/>
    </row>
    <row r="56">
      <c r="A56" s="87" t="s">
        <v>226</v>
      </c>
      <c r="B56" s="78">
        <v>2.0</v>
      </c>
      <c r="C56" s="71">
        <v>2.0</v>
      </c>
      <c r="D56" s="84">
        <v>0.0333</v>
      </c>
      <c r="E56" s="73"/>
      <c r="F56" s="74">
        <f>(75+(D56*$N$16))*(1+($D$14*0.05)+(IF(J3="Flametongue",($D$12*0.1),0))+($D$17*0.05)+($D$9*0.01))*IF($H$18,1.1,1)*IF($H$19,1.15,1)*IF($H$20,1.1,1)</f>
        <v>222.4437068</v>
      </c>
      <c r="G56" s="74">
        <f>(75+(D56*$N$16))*(1+($D$14*0.05)+(IF(J3="Flametongue",($D$12*0.1),0))+($D$17*0.05)+($D$9*0.01))*IF($H$18,1.1,1)*IF($H$19,1.15,1)*IF($H$20,1.1,1)</f>
        <v>222.4437068</v>
      </c>
      <c r="H56" s="74">
        <f>AVERAGE(F56,G56)*(1+(($N$17+$U$8)/(2-D17*0.5)))*MIN(IF($H$3=63,0.83+$N$18,0.96+$N$18-(($H$3-60)*0.01)),0.99)*((1-$P$15*0.0025)*$P$13)</f>
        <v>265.0565594</v>
      </c>
      <c r="I56" s="75">
        <f>IF(J4="Magma",(H56/C56)*H4,0)+IF(J4="Nova+Magma",((H56*(ROUNDDOWN((15-(4-D16))/C56,0)))/15)*H4,0)</f>
        <v>0</v>
      </c>
      <c r="J56" s="71">
        <f>(H56/C56)*(IF($J$3="Rockbiter",1+U3,1)+IF(AND($J$3="Rockbiter",$F$11),U3*U4,0))*IF($J$6,0.7,1)*IF($J$7,0.8,1)*IF($F$17,1.02,1)*IF($F$18,0.98,1)*(0+U2)*(1+U5)*(1-D16*0.25)</f>
        <v>0</v>
      </c>
      <c r="K56" s="88">
        <f>IF(J4="Magma",I56/$B$23,0)+IF(J4="Nova+Magma",I56/B23,0)</f>
        <v>0</v>
      </c>
      <c r="L56" s="80">
        <v>650.0</v>
      </c>
      <c r="M56" s="74">
        <f>L56/20</f>
        <v>32.5</v>
      </c>
      <c r="N56" s="2"/>
    </row>
    <row r="57">
      <c r="A57" s="87" t="s">
        <v>227</v>
      </c>
      <c r="B57" s="78">
        <v>4.0</v>
      </c>
      <c r="C57" s="71">
        <f>15</f>
        <v>15</v>
      </c>
      <c r="D57" s="82">
        <v>0.15</v>
      </c>
      <c r="E57" s="73"/>
      <c r="F57" s="74">
        <f>(413+(D57*$N$16))*(1+($D$14*0.05)+(IF(J3="Flametongue",($D$12*0.1),0))+($D$17*0.05)+($D$9*0.01))*IF($H$18,1.1,1)*IF($H$19,1.15,1)*IF($H$20,1.1,1)</f>
        <v>1169.339717</v>
      </c>
      <c r="G57" s="74">
        <f>(459+(D57*$N$16))*(1+($D$14*0.05)+(IF(J3="Flametongue",($D$12*0.1),0))+($D$17*0.05)+($D$9*0.01))*IF($H$18,1.1,1)*IF($H$19,1.15,1)*IF($H$20,1.1,1)</f>
        <v>1271.754117</v>
      </c>
      <c r="H57" s="74">
        <f>AVERAGE(F57,G57)*(1+(($N$17+$U$8)/(2-D17*0.5)))*MIN(IF($H$3=63,0.83+$N$18,0.96+$N$18-(($H$3-60)*0.01)),0.99)*((1-$P$15*0.0025)*$P$13)</f>
        <v>1454.363313</v>
      </c>
      <c r="I57" s="75">
        <f>IF(J4="Nova",(H57/C57)*H4,0)+IF(J4="Nova+Magma",(H57/C57)*H4,0)+IF(J4="Nova+Searing",(H57/C57)*H4,0)</f>
        <v>96.95755421</v>
      </c>
      <c r="J57" s="71">
        <f>(H57/C57)*(IF($J$3="Rockbiter",1+U3,1)+IF(AND($J$3="Rockbiter",$F$11),U3*U4,0))*IF($J$6,0.7,1)*IF($J$7,0.8,1)*IF($F$17,1.02,1)*IF($F$18,0.98,1)*(0+U2)*(1+U5)</f>
        <v>0</v>
      </c>
      <c r="K57" s="18">
        <f t="shared" ref="K57:K59" si="11">I57/$B$23</f>
        <v>0.05847087754</v>
      </c>
      <c r="L57" s="80">
        <v>525.0</v>
      </c>
      <c r="M57" s="74">
        <f>L57/15</f>
        <v>35</v>
      </c>
      <c r="N57" s="2"/>
    </row>
    <row r="58">
      <c r="A58" s="87" t="s">
        <v>228</v>
      </c>
      <c r="B58" s="78">
        <v>2.0</v>
      </c>
      <c r="C58" s="71">
        <v>1.5</v>
      </c>
      <c r="D58" s="90"/>
      <c r="E58" s="90"/>
      <c r="F58" s="80">
        <v>0.0</v>
      </c>
      <c r="G58" s="80">
        <v>0.0</v>
      </c>
      <c r="H58" s="80">
        <v>0.0</v>
      </c>
      <c r="I58" s="75"/>
      <c r="J58" s="91">
        <f>((150/C58)*(IF($J$3="Rockbiter",1+U3,1)+IF(AND($J$3="Rockbiter",$F$11),U3*U4,0))*IF($J$6,0.7,1)*IF($J$7,0.8,1)*IF($F$17,1.02,1)*IF($F$18,0.98,1)*(0+U2)*(1+U5)*MIN(IF($H$3=63,0.83+$N$18,0.96+$N$18-(($H$3-60)*0.01)),0.99))*H4</f>
        <v>0</v>
      </c>
      <c r="K58" s="18">
        <f t="shared" si="11"/>
        <v>0</v>
      </c>
      <c r="L58" s="80">
        <v>140.0</v>
      </c>
      <c r="M58" s="74"/>
      <c r="N58" s="2"/>
    </row>
    <row r="59">
      <c r="A59" s="71" t="s">
        <v>229</v>
      </c>
      <c r="B59" s="92"/>
      <c r="D59" s="137" t="s">
        <v>230</v>
      </c>
      <c r="E59" s="94"/>
      <c r="F59" s="75"/>
      <c r="G59" s="75"/>
      <c r="H59" s="75"/>
      <c r="I59" s="75">
        <f>IF(F22,C67,0)+IF(F21,C66,0)+IF(F23,C68,0)+IF(F9,C69,0)+IF(F24,C70,0)</f>
        <v>79.41143887</v>
      </c>
      <c r="J59" s="75">
        <f>I59*(IF($J$3="Rockbiter",1+U3,1)+IF(AND($J$3="Rockbiter",$F$11),U3*U4,0))*IF($J$6,0.75,1)*IF($J$7,0.8,1)*IF($F$17,1.02,1)*IF($F$18,0.98,1)*(1+U5)</f>
        <v>58.36740757</v>
      </c>
      <c r="K59" s="18">
        <f t="shared" si="11"/>
        <v>0.04788957967</v>
      </c>
      <c r="L59" s="75"/>
      <c r="M59" s="75"/>
    </row>
    <row r="60">
      <c r="A60" s="63" t="s">
        <v>231</v>
      </c>
      <c r="B60" s="95" t="s">
        <v>232</v>
      </c>
      <c r="C60" s="95" t="s">
        <v>233</v>
      </c>
      <c r="D60" s="69" t="s">
        <v>234</v>
      </c>
      <c r="E60" s="96" t="s">
        <v>235</v>
      </c>
      <c r="F60" s="96" t="s">
        <v>236</v>
      </c>
      <c r="G60" s="96" t="s">
        <v>237</v>
      </c>
      <c r="H60" s="97" t="s">
        <v>163</v>
      </c>
      <c r="I60" s="98" t="s">
        <v>158</v>
      </c>
      <c r="J60" s="99" t="s">
        <v>210</v>
      </c>
      <c r="K60" s="99" t="s">
        <v>211</v>
      </c>
      <c r="L60" s="99" t="s">
        <v>238</v>
      </c>
    </row>
    <row r="61">
      <c r="A61" s="100" t="s">
        <v>239</v>
      </c>
      <c r="B61" s="101"/>
      <c r="C61" s="102">
        <f>(($H$43/$C$43))+IF($J$3="Flametongue",(H45/C45)+(H45/C46)+(H45/C49),0)+(IF($J$3="Windfury",$H$44*$P$19*2/60,0)+(($H$46+$H$47)/$C$46)+($H$49/$C$49))</f>
        <v>750.6761468</v>
      </c>
      <c r="D61" s="103">
        <f>$H$50*2/15</f>
        <v>264.8773607</v>
      </c>
      <c r="E61" s="103">
        <f>IF($H$6,IF($J$2="Lightning",$H$53/$H$7,0),0)+IF(J2="Lightning",I48,0)+(($H$51+$H$52)/15)+IF(F21,C66,0)+IF(F22,C67,0)+IF(F9,IF(H6,C69,0),0)+IF(F23,C68,0)+IF(F24,C70,0)+IF(G86,D86,0)</f>
        <v>394.9046606</v>
      </c>
      <c r="F61" s="103">
        <f>IF(J4="Magma",I56,0)+IF($J$4="Searing",I55,0)+IF($J$4="Nova",I57,0)+B76+B77</f>
        <v>247.7614155</v>
      </c>
      <c r="G61" s="103">
        <f>SUM(C61,D61,E61,F61)</f>
        <v>1658.219584</v>
      </c>
      <c r="H61" s="103">
        <f>((($H$51+$H$52)+($H$50*2))/15)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1662.079083</v>
      </c>
      <c r="I61" s="103">
        <f>((C61*(1-$U$7))+(D61*1.5)+E61+(F61*($D$4*0.45)))*((IF($J$3="Rockbiter",1+$U$3,1)+IF(AND($J$3="Rockbiter",$F$11),$U$3*$U$4,0))*(1+$U$5)*IF($J$6,0.75,1)*IF($J$7,0.8,1)*IF($F$17,1.02,1)*IF($F$18,0.98,1))+IF(J5,J58,0)</f>
        <v>1042.108139</v>
      </c>
      <c r="J61" s="103"/>
      <c r="K61" s="103">
        <f>M46+M49+(L50*2/15)+(L51/15)+IF(AND(H6,J2="Lightning"),(L53*((60/H7)/9))/60,0)+IF(J2="Lightning",(L53*(60/C46))/60,0)+IF(J4="Searing",M55,0)+IF(J4="Magma",M56,0)+IF(J4="Nova",M57,0)+IF(J4="Nova+Searing",(L57+L55)/15,0)+IF(J4="Nova+Magma",(L57+L56)/15,0)+IF(J22,100/60,0)</f>
        <v>148.5542111</v>
      </c>
      <c r="L61" s="103">
        <f>N14/K61</f>
        <v>94.07499177</v>
      </c>
    </row>
    <row r="62">
      <c r="A62" s="100" t="s">
        <v>240</v>
      </c>
      <c r="B62" s="101"/>
      <c r="C62" s="102">
        <f>(($H$43/$C$43))+IF($J$3="Flametongue",(H45/C45)+(H45/C46)+(H45/C49),0)+(IF($J$3="Windfury",$H$44*$P$19*2/60,0)+(($H$46+$H$47)/$C$46)+($H$49/$C$49))</f>
        <v>750.6761468</v>
      </c>
      <c r="D62" s="103">
        <f>$H$50/5</f>
        <v>397.316041</v>
      </c>
      <c r="E62" s="103">
        <f>IF($H$6,IF($J$2="Lightning",$H$53/$H$7,0),0)+IF(J2="Lightning",I48,0)+IF(F21,C66,0)+IF(F22,C67,0)+IF(F9,IF(H6,C69,0),0)+IF(F24,C70,0)+IF(G86,D86,0)</f>
        <v>209.1888819</v>
      </c>
      <c r="F62" s="103">
        <f>IF(J4="Magma",I56,0)+IF($J$4="Searing",I55,0)+IF($J$4="Nova",I57,0)+B76+B77</f>
        <v>247.7614155</v>
      </c>
      <c r="G62" s="103">
        <f>C62+D62+E62+F62</f>
        <v>1604.942485</v>
      </c>
      <c r="H62" s="103">
        <f>($H$50/5)+($H$43/$C$43)+IF($J$3="Flametongue",($H$45/$C$45)+($H$45/(60/(60/$C$46+$C$49))),0)+(IF($J$3="Windfury",$H$44*$P$19*2/60,0)+(($H$46+$H$47+$H$48)/$C$46)+($H$49/$C$49)+(IF($J$4="Searing",$H$55/$C$55,0)+(IF($J$4="Magma",$H$56/$C$56,0))))+IF($H$6,IF($J$2="Lightning",$H$53/$H$7,0),0)+IF($F$21,$C$66,0)+IF($F$22,$C$67,0)+IF($F$23,$C$68,0)+IF(J4="Nova",H57/C57,0)+B76+B77+IF(H6,IF(F9,C69,0),0)</f>
        <v>1608.801984</v>
      </c>
      <c r="I62" s="103">
        <f>((C62*(1-$U$7))+(D62*1.5)+E62+(F62*($D$4*0.45)))*((IF($J$3="Rockbiter",1+$U$3,1)+IF(AND($J$3="Rockbiter",$F$11),$U$3*$U$4,0))*(1+$U$5)*IF($J$6,0.75,1)*IF($J$7,0.8,1)*IF($F$17,1.02,1)*IF($F$18,0.98,1))+IF(J5,J58,0)</f>
        <v>1051.620686</v>
      </c>
      <c r="J62" s="103"/>
      <c r="K62" s="103">
        <f>M46+M49+(L50/5)+IF(AND(H6,J2="Lightning"),(L53*((60/H7)/9))/60,0)+IF(J2="Lightning",(L53*(60/C46))/60,0)+IF(J4="Searing",M55,0)+IF(J4="Magma",M56,0)+IF(J4="Nova",M57,0)+IF(J4="Nova+Searing",(L57+L55)/15,0)+IF(J4="Nova+Magma",(L57+L56)/15,0)+IF(J22,100/60,0)</f>
        <v>151.1142111</v>
      </c>
      <c r="L62" s="103">
        <f>N14/K62</f>
        <v>92.48128343</v>
      </c>
    </row>
    <row r="63">
      <c r="A63" s="104"/>
      <c r="B63" s="105"/>
      <c r="C63" s="106"/>
      <c r="D63" s="107"/>
      <c r="E63" s="107"/>
      <c r="F63" s="108"/>
      <c r="G63" s="108"/>
      <c r="H63" s="108"/>
      <c r="I63" s="108"/>
      <c r="J63" s="108"/>
      <c r="K63" s="108"/>
      <c r="L63" s="108"/>
      <c r="M63" s="108"/>
      <c r="N63" s="108"/>
    </row>
    <row r="65">
      <c r="A65" s="109" t="s">
        <v>229</v>
      </c>
      <c r="B65" s="110" t="s">
        <v>241</v>
      </c>
      <c r="C65" s="45" t="s">
        <v>242</v>
      </c>
    </row>
    <row r="66">
      <c r="A66" s="8" t="s">
        <v>243</v>
      </c>
      <c r="B66" s="111">
        <f>(((273+333)/2)+75)*(IF(J3="Flametongue",1+(D12*0.1),1)*(1+(D17*0.05)))*IF(H18,1.1,1)*IF(H19,1.15,1)*IF(H20,1.1,1)*(1+(N17/2))*(0.82+N18)*P13</f>
        <v>756.0632313</v>
      </c>
      <c r="C66" s="112">
        <f>(B66*((((60/C43)+(60/C46)+(60/C49)+IF(J3="Windfury",60/C44,0))*1-$P$2)*0.185))/60</f>
        <v>79.41143887</v>
      </c>
      <c r="D66" s="113"/>
      <c r="E66" s="8" t="s">
        <v>244</v>
      </c>
      <c r="F66" s="2"/>
      <c r="G66" s="8" t="s">
        <v>245</v>
      </c>
      <c r="H66" s="8">
        <v>0.116</v>
      </c>
      <c r="I66" s="2"/>
      <c r="J66" s="71" t="s">
        <v>246</v>
      </c>
      <c r="K66" s="114">
        <f>1.2/(60/3.6)</f>
        <v>0.072</v>
      </c>
      <c r="L66" s="2"/>
      <c r="M66" s="2"/>
    </row>
    <row r="67">
      <c r="A67" s="8" t="s">
        <v>247</v>
      </c>
      <c r="B67" s="115">
        <f>((141+163)/2)+(N15-55)*IF(H18,1.1,1)*IF(H19,1.15*1.2,1)*IF(H20,1.1,1)*(1+((N17)/2))*(0.82+N18)*P13</f>
        <v>1306.954971</v>
      </c>
      <c r="C67" s="103">
        <f>(B67*((((60/C43)+(60/C46)+(60/C49)+IF(J3="Windfury",60/C44,0))*(1-P2))*0.08633)/60)</f>
        <v>60.57046988</v>
      </c>
      <c r="D67" s="113"/>
      <c r="E67" s="18">
        <f>1/(60/F4)</f>
        <v>0.06166666667</v>
      </c>
      <c r="F67" s="2"/>
      <c r="G67" s="8" t="s">
        <v>248</v>
      </c>
      <c r="H67" s="88">
        <f>1-EXP(-((H66*(1-SUM(P2:P3))/C43)+IF(J3="Windfury",(H66*(1-SUM(P2:P3))/C44),0)+(H66*(1-SUM(P2:P3))/C46)+(E67*(1-SUM(P2:P3))/C49))*6)</f>
        <v>0.2829449725</v>
      </c>
      <c r="I67" s="2"/>
      <c r="J67" s="71" t="s">
        <v>249</v>
      </c>
      <c r="K67" s="114">
        <f>1.2/(60/3.4)</f>
        <v>0.068</v>
      </c>
      <c r="L67" s="2"/>
      <c r="M67" s="2"/>
    </row>
    <row r="68">
      <c r="A68" s="8" t="s">
        <v>250</v>
      </c>
      <c r="B68" s="103">
        <f>250*(1-P12)*(1+P10)*IF(H13,1.04,1)</f>
        <v>286.7249834</v>
      </c>
      <c r="C68" s="103">
        <f>((B68/C43)*K67+(B68/C46)*K67+(B68/C49)*K67+IF(J3="Windfury",(B68/C44)*K67,0))*(1-SUM(P2:P3))</f>
        <v>10.46677831</v>
      </c>
      <c r="D68" s="113"/>
      <c r="E68" s="113"/>
      <c r="F68" s="2"/>
      <c r="G68" s="2"/>
      <c r="H68" s="2"/>
      <c r="K68" s="2"/>
      <c r="L68" s="2"/>
      <c r="M68" s="2"/>
    </row>
    <row r="69">
      <c r="A69" s="8" t="s">
        <v>251</v>
      </c>
      <c r="B69" s="112">
        <f>((25+33)/2)*(1+(D9*0.01))*IF(H18,1.1,1)*IF(H20,1.1,1)*(1+($N$17/2))*(0.83+$N$18)*$P$13*(H4)</f>
        <v>37.42101332</v>
      </c>
      <c r="C69" s="103">
        <f>IF(AND(H6,J2="Water"),B69/2,0)</f>
        <v>0</v>
      </c>
      <c r="D69" s="113"/>
      <c r="E69" s="113"/>
      <c r="F69" s="2"/>
      <c r="G69" s="71"/>
      <c r="H69" s="2"/>
      <c r="K69" s="2"/>
      <c r="L69" s="2"/>
      <c r="M69" s="2"/>
    </row>
    <row r="70">
      <c r="A70" s="8" t="s">
        <v>252</v>
      </c>
      <c r="B70" s="103">
        <f>(((175+250)/2)+((N15-55)*0.25))*(1-SUM(P2:P3))*(P13)*(1+(N17/2))*(0.83+N18)</f>
        <v>368.6721501</v>
      </c>
      <c r="C70" s="103">
        <f>((B70/C43)*K66+(B70/C46)*K66+(B70/C49)*K66+IF(J3="Windfury",(B70/C44)*K66,0))*(1-SUM(P2:P3))</f>
        <v>14.2498865</v>
      </c>
      <c r="D70" s="90"/>
    </row>
    <row r="71">
      <c r="A71" s="47" t="s">
        <v>253</v>
      </c>
      <c r="B71" s="47" t="s">
        <v>254</v>
      </c>
      <c r="C71" s="47" t="s">
        <v>255</v>
      </c>
      <c r="D71" s="47" t="s">
        <v>256</v>
      </c>
      <c r="E71" s="47" t="s">
        <v>257</v>
      </c>
      <c r="F71" s="47" t="s">
        <v>258</v>
      </c>
      <c r="G71" s="47" t="s">
        <v>259</v>
      </c>
      <c r="H71" s="47" t="s">
        <v>260</v>
      </c>
    </row>
    <row r="72">
      <c r="A72" s="88">
        <f>(60/C45)+(60/C46)+(60/C49)*(0.83+$N$18)</f>
        <v>33.88875416</v>
      </c>
      <c r="B72" s="88">
        <f>60/C46</f>
        <v>7.058823529</v>
      </c>
      <c r="C72" s="88">
        <f>60/C46</f>
        <v>7.058823529</v>
      </c>
      <c r="D72" s="88">
        <f>60/5</f>
        <v>12</v>
      </c>
      <c r="E72" s="88">
        <f>IF($F$22,$A$72*0.08,0)</f>
        <v>0</v>
      </c>
      <c r="F72" s="88">
        <f>$A$72*($F$26*1)</f>
        <v>0</v>
      </c>
      <c r="G72" s="88">
        <f>SUM(A72:E72)*(0.83+$N$18)</f>
        <v>58.26668032</v>
      </c>
      <c r="H72" s="88">
        <f>SUM(A72:F72)*(0.83+$N$18)</f>
        <v>58.26668032</v>
      </c>
      <c r="K72" s="2"/>
      <c r="L72" s="2"/>
    </row>
    <row r="75">
      <c r="A75" s="47" t="s">
        <v>261</v>
      </c>
      <c r="B75" s="47" t="s">
        <v>242</v>
      </c>
      <c r="C75" s="116"/>
    </row>
    <row r="76">
      <c r="A76" s="117" t="s">
        <v>262</v>
      </c>
      <c r="B76" s="118">
        <f>IF(J4="Nova+Searing",((H57/15)+((H55*(ROUNDDOWN((15-(4-D16))/C55,0)))/15))*H4,0)</f>
        <v>247.7614155</v>
      </c>
      <c r="C76" s="119"/>
      <c r="D76" s="120"/>
      <c r="E76" s="120"/>
      <c r="F76" s="117"/>
      <c r="G76" s="117"/>
      <c r="H76" s="121"/>
      <c r="I76" s="122"/>
      <c r="J76" s="123"/>
      <c r="K76" s="22"/>
      <c r="L76" s="22"/>
      <c r="M76" s="22"/>
      <c r="N76" s="22"/>
      <c r="O76" s="22"/>
      <c r="P76" s="124"/>
      <c r="Q76" s="124"/>
    </row>
    <row r="77">
      <c r="A77" s="71" t="s">
        <v>263</v>
      </c>
      <c r="B77" s="125">
        <f>IF(J4="Nova+Magma",((H57/15)+((H56*(ROUNDDOWN((15-(4-D16))/C56,0)))/15))*H4,0)</f>
        <v>0</v>
      </c>
      <c r="C77" s="2"/>
      <c r="D77" s="73"/>
      <c r="E77" s="73"/>
      <c r="F77" s="2"/>
      <c r="G77" s="2"/>
      <c r="H77" s="76"/>
      <c r="I77" s="126"/>
      <c r="J77" s="126"/>
      <c r="K77" s="2"/>
      <c r="L77" s="2"/>
      <c r="M77" s="2"/>
      <c r="O77" s="18"/>
    </row>
    <row r="78">
      <c r="A78" s="71"/>
      <c r="B78" s="72"/>
      <c r="C78" s="2"/>
      <c r="D78" s="73"/>
      <c r="E78" s="73"/>
      <c r="F78" s="2"/>
      <c r="G78" s="2"/>
      <c r="H78" s="76"/>
      <c r="I78" s="126"/>
      <c r="J78" s="126"/>
      <c r="K78" s="2"/>
      <c r="L78" s="2"/>
      <c r="M78" s="2"/>
      <c r="O78" s="18"/>
    </row>
    <row r="79">
      <c r="A79" s="71"/>
      <c r="B79" s="72"/>
      <c r="C79" s="2"/>
      <c r="D79" s="127"/>
      <c r="E79" s="73"/>
      <c r="F79" s="2"/>
      <c r="G79" s="2"/>
      <c r="H79" s="2"/>
      <c r="I79" s="126"/>
      <c r="J79" s="126"/>
      <c r="K79" s="2"/>
      <c r="L79" s="2"/>
      <c r="M79" s="2"/>
      <c r="O79" s="18"/>
    </row>
    <row r="80">
      <c r="A80" s="128" t="s">
        <v>68</v>
      </c>
      <c r="B80" s="78"/>
      <c r="C80" s="71"/>
      <c r="D80" s="73"/>
      <c r="E80" s="73"/>
      <c r="F80" s="2"/>
      <c r="G80" s="2"/>
      <c r="H80" s="2"/>
      <c r="I80" s="126"/>
      <c r="J80" s="126"/>
      <c r="K80" s="71"/>
      <c r="L80" s="2"/>
      <c r="M80" s="2"/>
      <c r="O80" s="18"/>
    </row>
    <row r="81">
      <c r="B81" s="129" t="s">
        <v>264</v>
      </c>
      <c r="C81" s="71"/>
      <c r="D81" s="82"/>
      <c r="E81" s="73"/>
      <c r="F81" s="2"/>
      <c r="G81" s="2"/>
      <c r="H81" s="2"/>
      <c r="I81" s="126"/>
      <c r="J81" s="126"/>
      <c r="K81" s="71"/>
      <c r="L81" s="2"/>
      <c r="M81" s="2"/>
      <c r="O81" s="18"/>
    </row>
    <row r="82">
      <c r="A82" s="71"/>
      <c r="B82" s="129" t="s">
        <v>265</v>
      </c>
      <c r="C82" s="71"/>
      <c r="D82" s="82"/>
      <c r="E82" s="82"/>
      <c r="F82" s="2"/>
      <c r="G82" s="2"/>
      <c r="H82" s="2"/>
      <c r="I82" s="126"/>
      <c r="J82" s="126"/>
      <c r="K82" s="71"/>
      <c r="L82" s="2"/>
      <c r="M82" s="2"/>
      <c r="O82" s="18"/>
    </row>
    <row r="83">
      <c r="A83" s="71"/>
      <c r="B83" s="78"/>
      <c r="C83" s="71"/>
      <c r="D83" s="73"/>
      <c r="E83" s="83"/>
      <c r="F83" s="2"/>
      <c r="G83" s="2"/>
      <c r="H83" s="2"/>
      <c r="I83" s="126"/>
      <c r="J83" s="126"/>
      <c r="K83" s="71"/>
      <c r="L83" s="2"/>
      <c r="M83" s="2"/>
      <c r="O83" s="18"/>
    </row>
    <row r="84">
      <c r="A84" s="71"/>
      <c r="B84" s="78"/>
      <c r="C84" s="71"/>
      <c r="D84" s="84"/>
      <c r="E84" s="82"/>
      <c r="F84" s="71"/>
      <c r="G84" s="71"/>
      <c r="H84" s="71"/>
      <c r="I84" s="126"/>
      <c r="J84" s="126"/>
      <c r="K84" s="71"/>
      <c r="L84" s="2"/>
      <c r="M84" s="2"/>
      <c r="O84" s="18"/>
    </row>
    <row r="85">
      <c r="A85" s="71"/>
      <c r="B85" s="8" t="s">
        <v>266</v>
      </c>
      <c r="C85" s="71" t="s">
        <v>229</v>
      </c>
      <c r="D85" s="187" t="s">
        <v>163</v>
      </c>
      <c r="E85" s="187" t="s">
        <v>267</v>
      </c>
      <c r="F85" s="71" t="s">
        <v>268</v>
      </c>
      <c r="G85" s="71" t="s">
        <v>269</v>
      </c>
      <c r="H85" s="71"/>
      <c r="I85" s="126"/>
      <c r="J85" s="126"/>
      <c r="K85" s="71"/>
      <c r="L85" s="2"/>
      <c r="M85" s="2"/>
      <c r="O85" s="18"/>
    </row>
    <row r="86">
      <c r="A86" s="71" t="s">
        <v>270</v>
      </c>
      <c r="B86" s="71">
        <f>(250+(N16*0.05))*IF(J3="Flametongue",1.3,1)*(1+(N17))*(1+(D17*0.05))</f>
        <v>503.6563687</v>
      </c>
      <c r="C86" s="71">
        <f>H72*0.2</f>
        <v>11.65333606</v>
      </c>
      <c r="D86" s="188">
        <f>(B86*C86/60)*(0.83+N18)*P13*((1-$P$15*0.0025))</f>
        <v>89.28610918</v>
      </c>
      <c r="E86" s="189">
        <f>(B86*C86/60)*(1-(F86*0.0025))</f>
        <v>52.57893913</v>
      </c>
      <c r="F86" s="71">
        <v>185.0</v>
      </c>
      <c r="G86" s="53" t="b">
        <v>0</v>
      </c>
      <c r="H86" s="71"/>
      <c r="I86" s="126"/>
      <c r="J86" s="126"/>
      <c r="K86" s="2"/>
      <c r="L86" s="2"/>
      <c r="M86" s="2"/>
      <c r="O86" s="18"/>
    </row>
    <row r="87">
      <c r="A87" s="71"/>
      <c r="C87" s="2"/>
      <c r="D87" s="82"/>
      <c r="E87" s="73"/>
      <c r="F87" s="2"/>
      <c r="G87" s="2"/>
      <c r="H87" s="2"/>
      <c r="I87" s="126"/>
      <c r="J87" s="126"/>
      <c r="K87" s="2"/>
      <c r="L87" s="2"/>
      <c r="M87" s="2"/>
      <c r="O87" s="18"/>
    </row>
    <row r="88">
      <c r="A88" s="13"/>
      <c r="C88" s="2"/>
      <c r="D88" s="73"/>
      <c r="E88" s="73"/>
      <c r="F88" s="71"/>
      <c r="G88" s="71"/>
      <c r="H88" s="71"/>
      <c r="I88" s="134"/>
      <c r="J88" s="126"/>
      <c r="K88" s="71"/>
      <c r="L88" s="2"/>
      <c r="M88" s="2"/>
      <c r="O88" s="18"/>
    </row>
    <row r="89">
      <c r="A89" s="87"/>
      <c r="C89" s="71"/>
      <c r="D89" s="84"/>
      <c r="E89" s="73"/>
      <c r="F89" s="135"/>
      <c r="G89" s="135"/>
      <c r="H89" s="2"/>
      <c r="I89" s="126"/>
      <c r="J89" s="106"/>
      <c r="K89" s="71"/>
      <c r="L89" s="2"/>
      <c r="M89" s="2"/>
      <c r="O89" s="18"/>
    </row>
    <row r="90">
      <c r="A90" s="87"/>
      <c r="C90" s="71"/>
      <c r="D90" s="84"/>
      <c r="E90" s="73"/>
      <c r="F90" s="135"/>
      <c r="G90" s="135"/>
      <c r="H90" s="2"/>
      <c r="I90" s="126"/>
      <c r="J90" s="106"/>
      <c r="K90" s="71"/>
      <c r="L90" s="2"/>
      <c r="M90" s="2"/>
    </row>
    <row r="91">
      <c r="A91" s="87"/>
      <c r="C91" s="71"/>
      <c r="D91" s="82"/>
      <c r="E91" s="73"/>
      <c r="F91" s="135"/>
      <c r="G91" s="135"/>
      <c r="H91" s="2"/>
      <c r="I91" s="126"/>
      <c r="J91" s="106"/>
      <c r="K91" s="71"/>
      <c r="L91" s="2"/>
      <c r="M91" s="2"/>
    </row>
    <row r="92">
      <c r="A92" s="8" t="s">
        <v>115</v>
      </c>
      <c r="B92" s="8" t="s">
        <v>271</v>
      </c>
      <c r="C92" s="71"/>
      <c r="D92" s="90"/>
      <c r="E92" s="90"/>
      <c r="F92" s="71"/>
      <c r="G92" s="71"/>
      <c r="H92" s="71"/>
      <c r="I92" s="134"/>
      <c r="J92" s="136"/>
      <c r="K92" s="71"/>
      <c r="L92" s="2"/>
      <c r="M92" s="2"/>
    </row>
    <row r="93">
      <c r="B93" s="8" t="s">
        <v>272</v>
      </c>
      <c r="C93" s="88">
        <f>IF(F15,((H48/C48)+(H48/C43)*0.15+(H48/C46)*0.15+(H48/C49)*0.15)*(1-P2),(H48/C48)*(1-P2))</f>
        <v>129.777443</v>
      </c>
      <c r="D93" s="137"/>
      <c r="E93" s="94"/>
    </row>
    <row r="94">
      <c r="B94" s="8" t="s">
        <v>273</v>
      </c>
      <c r="C94" s="88">
        <f>IF(H6,H53/H7,0)+IF(AND(J2="Lightning",F15),((H53/C43)*0.15+(H53/C46)*0.15+(H53/C49)*0.15)*(1-P2),0)</f>
        <v>0</v>
      </c>
    </row>
    <row r="97">
      <c r="A97" s="8" t="s">
        <v>122</v>
      </c>
      <c r="B97" s="8" t="s">
        <v>274</v>
      </c>
    </row>
  </sheetData>
  <dataValidations>
    <dataValidation type="list" allowBlank="1" showErrorMessage="1" sqref="J3">
      <formula1>"Rockbiter,Windfury,Flametongue"</formula1>
    </dataValidation>
    <dataValidation type="list" allowBlank="1" showErrorMessage="1" sqref="J4">
      <formula1>"Searing,Magma,Nova,Nova+Searing,Nova+Magma,None"</formula1>
    </dataValidation>
    <dataValidation type="list" allowBlank="1" showErrorMessage="1" sqref="J2">
      <formula1>"Water,Lightning"</formula1>
    </dataValidation>
    <dataValidation type="list" allowBlank="1" showErrorMessage="1" sqref="D4 D7 D16:D18">
      <formula1>"0,1,2"</formula1>
    </dataValidation>
    <dataValidation type="list" allowBlank="1" showErrorMessage="1" sqref="F26">
      <formula1>"0,1,2,3,4,5"</formula1>
    </dataValidation>
    <dataValidation type="list" allowBlank="1" showErrorMessage="1" sqref="D2:D3 D6 D8:D10">
      <formula1>"0,1,2,3,4,5"</formula1>
    </dataValidation>
    <dataValidation type="list" allowBlank="1" showErrorMessage="1" sqref="D5 D11:D14">
      <formula1>"0,1,2,3"</formula1>
    </dataValidation>
    <dataValidation type="list" allowBlank="1" sqref="B19">
      <formula1>"Tauren,Troll,Orc"</formula1>
    </dataValidation>
    <dataValidation type="list" allowBlank="1" showErrorMessage="1" sqref="D15">
      <formula1>"0,1"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7" max="7" width="16.0"/>
    <col customWidth="1" min="8" max="8" width="18.88"/>
    <col customWidth="1" min="9" max="9" width="16.38"/>
    <col customWidth="1" min="10" max="10" width="18.5"/>
  </cols>
  <sheetData>
    <row r="1">
      <c r="F1" s="8" t="s">
        <v>415</v>
      </c>
      <c r="O1" s="196"/>
      <c r="P1" s="40"/>
    </row>
    <row r="2" ht="22.5" customHeight="1">
      <c r="A2" s="197" t="s">
        <v>416</v>
      </c>
      <c r="B2" s="197" t="s">
        <v>176</v>
      </c>
      <c r="C2" s="197" t="s">
        <v>177</v>
      </c>
      <c r="D2" s="197" t="s">
        <v>178</v>
      </c>
      <c r="E2" s="198" t="s">
        <v>417</v>
      </c>
      <c r="F2" s="199" t="s">
        <v>418</v>
      </c>
      <c r="G2" s="199" t="s">
        <v>419</v>
      </c>
      <c r="H2" s="199" t="s">
        <v>420</v>
      </c>
      <c r="I2" s="199" t="s">
        <v>421</v>
      </c>
      <c r="O2" s="200"/>
    </row>
    <row r="3" ht="22.5" customHeight="1">
      <c r="A3" s="1" t="s">
        <v>181</v>
      </c>
      <c r="B3" s="201">
        <f>'Main(manual)'!L26</f>
        <v>0.3036568686</v>
      </c>
      <c r="C3" s="201">
        <f t="shared" ref="C3:C17" si="1">B3/$B$3</f>
        <v>1</v>
      </c>
      <c r="D3" s="202">
        <f t="shared" ref="D3:D17" si="2">B3/$B$12</f>
        <v>0.4881908134</v>
      </c>
      <c r="E3" s="203" t="s">
        <v>422</v>
      </c>
      <c r="F3" s="204"/>
      <c r="G3" s="205">
        <f t="shared" ref="G3:G17" si="3">F3*B3</f>
        <v>0</v>
      </c>
      <c r="H3" s="206"/>
      <c r="I3" s="207">
        <f t="shared" ref="I3:I17" si="4">H3*B3</f>
        <v>0</v>
      </c>
      <c r="O3" s="200"/>
    </row>
    <row r="4" ht="22.5" customHeight="1">
      <c r="A4" s="1" t="s">
        <v>184</v>
      </c>
      <c r="B4" s="201">
        <f>'Main(manual)'!L27</f>
        <v>0.7044839351</v>
      </c>
      <c r="C4" s="201">
        <f t="shared" si="1"/>
        <v>2.32</v>
      </c>
      <c r="D4" s="202">
        <f t="shared" si="2"/>
        <v>1.132602687</v>
      </c>
      <c r="E4" s="208" t="s">
        <v>423</v>
      </c>
      <c r="F4" s="209"/>
      <c r="G4" s="210">
        <f t="shared" si="3"/>
        <v>0</v>
      </c>
      <c r="H4" s="211">
        <v>15.0</v>
      </c>
      <c r="I4" s="212">
        <f t="shared" si="4"/>
        <v>10.56725903</v>
      </c>
      <c r="O4" s="200"/>
    </row>
    <row r="5" ht="22.5" customHeight="1">
      <c r="A5" s="1" t="s">
        <v>187</v>
      </c>
      <c r="B5" s="201">
        <f>'Main(manual)'!L28</f>
        <v>0.3837670831</v>
      </c>
      <c r="C5" s="201">
        <f t="shared" si="1"/>
        <v>1.26381822</v>
      </c>
      <c r="D5" s="202">
        <f t="shared" si="2"/>
        <v>0.6169844448</v>
      </c>
      <c r="E5" s="203" t="s">
        <v>424</v>
      </c>
      <c r="F5" s="204"/>
      <c r="G5" s="205">
        <f t="shared" si="3"/>
        <v>0</v>
      </c>
      <c r="H5" s="206"/>
      <c r="I5" s="207">
        <f t="shared" si="4"/>
        <v>0</v>
      </c>
      <c r="O5" s="200"/>
    </row>
    <row r="6" ht="22.5" customHeight="1">
      <c r="A6" s="1" t="s">
        <v>189</v>
      </c>
      <c r="B6" s="201">
        <f>'Main(manual)'!L29</f>
        <v>0.1588268098</v>
      </c>
      <c r="C6" s="201">
        <f t="shared" si="1"/>
        <v>0.5230469856</v>
      </c>
      <c r="D6" s="202">
        <f t="shared" si="2"/>
        <v>0.2553467333</v>
      </c>
      <c r="E6" s="208" t="s">
        <v>425</v>
      </c>
      <c r="F6" s="209">
        <v>20.0</v>
      </c>
      <c r="G6" s="210">
        <f t="shared" si="3"/>
        <v>3.176536195</v>
      </c>
      <c r="H6" s="211">
        <v>15.0</v>
      </c>
      <c r="I6" s="212">
        <f t="shared" si="4"/>
        <v>2.382402146</v>
      </c>
      <c r="O6" s="200"/>
    </row>
    <row r="7" ht="22.5" customHeight="1">
      <c r="A7" s="1" t="s">
        <v>190</v>
      </c>
      <c r="B7" s="201">
        <f>'Main(manual)'!L30</f>
        <v>6.824928385</v>
      </c>
      <c r="C7" s="201">
        <f t="shared" si="1"/>
        <v>22.47579123</v>
      </c>
      <c r="D7" s="202">
        <f t="shared" si="2"/>
        <v>10.9724748</v>
      </c>
      <c r="E7" s="203" t="s">
        <v>426</v>
      </c>
      <c r="F7" s="204"/>
      <c r="G7" s="205">
        <f t="shared" si="3"/>
        <v>0</v>
      </c>
      <c r="H7" s="206">
        <v>1.0</v>
      </c>
      <c r="I7" s="207">
        <f t="shared" si="4"/>
        <v>6.824928385</v>
      </c>
      <c r="O7" s="200"/>
    </row>
    <row r="8" ht="22.5" customHeight="1">
      <c r="A8" s="1" t="s">
        <v>191</v>
      </c>
      <c r="B8" s="201">
        <f>'Main(manual)'!L31</f>
        <v>4.026368327</v>
      </c>
      <c r="C8" s="201">
        <f t="shared" si="1"/>
        <v>13.25959905</v>
      </c>
      <c r="D8" s="202">
        <f t="shared" si="2"/>
        <v>6.473214447</v>
      </c>
      <c r="E8" s="208" t="s">
        <v>427</v>
      </c>
      <c r="F8" s="209"/>
      <c r="G8" s="210">
        <f t="shared" si="3"/>
        <v>0</v>
      </c>
      <c r="H8" s="211"/>
      <c r="I8" s="212">
        <f t="shared" si="4"/>
        <v>0</v>
      </c>
      <c r="O8" s="200"/>
    </row>
    <row r="9" ht="22.5" customHeight="1">
      <c r="A9" s="1" t="s">
        <v>192</v>
      </c>
      <c r="B9" s="201">
        <f>'Main(manual)'!L32</f>
        <v>5.076323235</v>
      </c>
      <c r="C9" s="201">
        <f t="shared" si="1"/>
        <v>16.71730088</v>
      </c>
      <c r="D9" s="202">
        <f t="shared" si="2"/>
        <v>8.161232712</v>
      </c>
      <c r="E9" s="203" t="s">
        <v>428</v>
      </c>
      <c r="F9" s="204"/>
      <c r="G9" s="205">
        <f t="shared" si="3"/>
        <v>0</v>
      </c>
      <c r="H9" s="206"/>
      <c r="I9" s="207">
        <f t="shared" si="4"/>
        <v>0</v>
      </c>
      <c r="O9" s="200"/>
    </row>
    <row r="10" ht="22.5" customHeight="1">
      <c r="A10" s="1" t="s">
        <v>193</v>
      </c>
      <c r="B10" s="201">
        <f>'Main(manual)'!L33</f>
        <v>5.395900607</v>
      </c>
      <c r="C10" s="201">
        <f t="shared" si="1"/>
        <v>17.76973013</v>
      </c>
      <c r="D10" s="202">
        <f t="shared" si="2"/>
        <v>8.675019007</v>
      </c>
      <c r="E10" s="208" t="s">
        <v>429</v>
      </c>
      <c r="F10" s="209"/>
      <c r="G10" s="210">
        <f t="shared" si="3"/>
        <v>0</v>
      </c>
      <c r="H10" s="211"/>
      <c r="I10" s="212">
        <f t="shared" si="4"/>
        <v>0</v>
      </c>
      <c r="O10" s="200"/>
    </row>
    <row r="11" ht="22.5" customHeight="1">
      <c r="A11" s="1" t="s">
        <v>194</v>
      </c>
      <c r="B11" s="201">
        <f>'Main(manual)'!L34</f>
        <v>0.09869140758</v>
      </c>
      <c r="C11" s="201">
        <f t="shared" si="1"/>
        <v>0.3250096336</v>
      </c>
      <c r="D11" s="202">
        <f t="shared" si="2"/>
        <v>0.1586667174</v>
      </c>
      <c r="E11" s="203" t="s">
        <v>430</v>
      </c>
      <c r="F11" s="204"/>
      <c r="G11" s="205">
        <f t="shared" si="3"/>
        <v>0</v>
      </c>
      <c r="H11" s="206"/>
      <c r="I11" s="207">
        <f t="shared" si="4"/>
        <v>0</v>
      </c>
      <c r="O11" s="200"/>
    </row>
    <row r="12" ht="22.5" customHeight="1">
      <c r="A12" s="1" t="s">
        <v>195</v>
      </c>
      <c r="B12" s="201">
        <f>'Main(manual)'!L35</f>
        <v>0.6220044709</v>
      </c>
      <c r="C12" s="201">
        <f t="shared" si="1"/>
        <v>2.048379389</v>
      </c>
      <c r="D12" s="202">
        <f t="shared" si="2"/>
        <v>1</v>
      </c>
      <c r="E12" s="208" t="s">
        <v>431</v>
      </c>
      <c r="F12" s="209">
        <v>36.0</v>
      </c>
      <c r="G12" s="210">
        <f t="shared" si="3"/>
        <v>22.39216095</v>
      </c>
      <c r="H12" s="211">
        <v>31.0</v>
      </c>
      <c r="I12" s="212">
        <f t="shared" si="4"/>
        <v>19.2821386</v>
      </c>
      <c r="O12" s="200"/>
    </row>
    <row r="13" ht="22.5" customHeight="1">
      <c r="A13" s="1" t="s">
        <v>196</v>
      </c>
      <c r="B13" s="201">
        <f>'Main(manual)'!L36</f>
        <v>0.1480572567</v>
      </c>
      <c r="C13" s="201">
        <f t="shared" si="1"/>
        <v>0.4875807927</v>
      </c>
      <c r="D13" s="202">
        <f t="shared" si="2"/>
        <v>0.2380324638</v>
      </c>
      <c r="E13" s="203" t="s">
        <v>432</v>
      </c>
      <c r="F13" s="204"/>
      <c r="G13" s="205">
        <f t="shared" si="3"/>
        <v>0</v>
      </c>
      <c r="H13" s="206"/>
      <c r="I13" s="207">
        <f t="shared" si="4"/>
        <v>0</v>
      </c>
      <c r="O13" s="200"/>
    </row>
    <row r="14" ht="22.5" customHeight="1">
      <c r="A14" s="1" t="s">
        <v>197</v>
      </c>
      <c r="B14" s="201">
        <f>'Main(manual)'!L37</f>
        <v>0.4739472142</v>
      </c>
      <c r="C14" s="201">
        <f t="shared" si="1"/>
        <v>1.560798596</v>
      </c>
      <c r="D14" s="202">
        <f t="shared" si="2"/>
        <v>0.7619675362</v>
      </c>
      <c r="E14" s="208" t="s">
        <v>433</v>
      </c>
      <c r="F14" s="209"/>
      <c r="G14" s="210">
        <f t="shared" si="3"/>
        <v>0</v>
      </c>
      <c r="H14" s="211"/>
      <c r="I14" s="212">
        <f t="shared" si="4"/>
        <v>0</v>
      </c>
      <c r="O14" s="200"/>
    </row>
    <row r="15" ht="22.5" customHeight="1">
      <c r="A15" s="1" t="s">
        <v>198</v>
      </c>
      <c r="B15" s="201">
        <f>'Main(manual)'!L38</f>
        <v>8.176127946</v>
      </c>
      <c r="C15" s="201">
        <f t="shared" si="1"/>
        <v>26.92554917</v>
      </c>
      <c r="D15" s="202">
        <f t="shared" si="2"/>
        <v>13.14480575</v>
      </c>
      <c r="E15" s="203" t="s">
        <v>434</v>
      </c>
      <c r="F15" s="204">
        <v>2.0</v>
      </c>
      <c r="G15" s="205">
        <f t="shared" si="3"/>
        <v>16.35225589</v>
      </c>
      <c r="H15" s="206">
        <v>2.0</v>
      </c>
      <c r="I15" s="207">
        <f t="shared" si="4"/>
        <v>16.35225589</v>
      </c>
      <c r="N15" s="213"/>
      <c r="O15" s="214"/>
    </row>
    <row r="16" ht="22.5" customHeight="1">
      <c r="A16" s="1" t="s">
        <v>199</v>
      </c>
      <c r="B16" s="201">
        <f>'Main(manual)'!L39</f>
        <v>1.665903896</v>
      </c>
      <c r="C16" s="201">
        <f t="shared" si="1"/>
        <v>5.486139352</v>
      </c>
      <c r="D16" s="202">
        <f t="shared" si="2"/>
        <v>2.678282833</v>
      </c>
      <c r="E16" s="208" t="s">
        <v>435</v>
      </c>
      <c r="F16" s="209">
        <v>1.0</v>
      </c>
      <c r="G16" s="210">
        <f t="shared" si="3"/>
        <v>1.665903896</v>
      </c>
      <c r="H16" s="211"/>
      <c r="I16" s="212">
        <f t="shared" si="4"/>
        <v>0</v>
      </c>
      <c r="O16" s="214"/>
    </row>
    <row r="17" ht="22.5" customHeight="1">
      <c r="A17" s="1" t="s">
        <v>200</v>
      </c>
      <c r="B17" s="201">
        <f>'Main(manual)'!L40</f>
        <v>0</v>
      </c>
      <c r="C17" s="201">
        <f t="shared" si="1"/>
        <v>0</v>
      </c>
      <c r="D17" s="202">
        <f t="shared" si="2"/>
        <v>0</v>
      </c>
      <c r="E17" s="203" t="s">
        <v>436</v>
      </c>
      <c r="F17" s="204"/>
      <c r="G17" s="205">
        <f t="shared" si="3"/>
        <v>0</v>
      </c>
      <c r="H17" s="206"/>
      <c r="I17" s="207">
        <f t="shared" si="4"/>
        <v>0</v>
      </c>
      <c r="O17" s="214"/>
      <c r="P17" s="71"/>
    </row>
    <row r="18" ht="22.5" customHeight="1">
      <c r="E18" s="215" t="s">
        <v>354</v>
      </c>
      <c r="F18" s="216"/>
      <c r="G18" s="217">
        <f>SUM(G3:G17)</f>
        <v>43.58685693</v>
      </c>
      <c r="H18" s="218"/>
      <c r="I18" s="217">
        <f>SUM(I3:I17)</f>
        <v>55.40898405</v>
      </c>
      <c r="O18" s="86"/>
    </row>
    <row r="19">
      <c r="F19" s="40"/>
      <c r="O19" s="86"/>
    </row>
    <row r="21" ht="22.5" customHeight="1">
      <c r="A21" s="197" t="s">
        <v>437</v>
      </c>
      <c r="B21" s="197" t="s">
        <v>176</v>
      </c>
      <c r="C21" s="197" t="s">
        <v>177</v>
      </c>
      <c r="D21" s="197" t="s">
        <v>178</v>
      </c>
      <c r="E21" s="198" t="s">
        <v>417</v>
      </c>
      <c r="F21" s="199" t="s">
        <v>418</v>
      </c>
      <c r="G21" s="199" t="s">
        <v>419</v>
      </c>
      <c r="H21" s="199" t="s">
        <v>420</v>
      </c>
      <c r="I21" s="199" t="s">
        <v>421</v>
      </c>
    </row>
    <row r="22" ht="22.5" customHeight="1">
      <c r="A22" s="1" t="s">
        <v>181</v>
      </c>
      <c r="B22" s="201">
        <f>'Main(automatic)'!L26</f>
        <v>0.3676773259</v>
      </c>
      <c r="C22" s="201">
        <f t="shared" ref="C22:C36" si="5">B22/$B$22</f>
        <v>1</v>
      </c>
      <c r="D22" s="202">
        <f t="shared" ref="D22:D36" si="6">B22/$B$31</f>
        <v>-0.05250861139</v>
      </c>
      <c r="E22" s="203" t="s">
        <v>422</v>
      </c>
      <c r="F22" s="204">
        <v>148.0</v>
      </c>
      <c r="G22" s="205">
        <f t="shared" ref="G22:G36" si="7">F22*B22</f>
        <v>54.41624424</v>
      </c>
      <c r="H22" s="206">
        <v>154.0</v>
      </c>
      <c r="I22" s="207">
        <f t="shared" ref="I22:I36" si="8">H22*B22</f>
        <v>56.6223082</v>
      </c>
    </row>
    <row r="23" ht="22.5" customHeight="1">
      <c r="A23" s="1" t="s">
        <v>184</v>
      </c>
      <c r="B23" s="201">
        <f>'Main(automatic)'!L27</f>
        <v>0.9009380648</v>
      </c>
      <c r="C23" s="201">
        <f t="shared" si="5"/>
        <v>2.450349807</v>
      </c>
      <c r="D23" s="202">
        <f t="shared" si="6"/>
        <v>-0.1286644658</v>
      </c>
      <c r="E23" s="208" t="s">
        <v>423</v>
      </c>
      <c r="F23" s="209">
        <v>19.0</v>
      </c>
      <c r="G23" s="210">
        <f t="shared" si="7"/>
        <v>17.11782323</v>
      </c>
      <c r="H23" s="211">
        <v>31.0</v>
      </c>
      <c r="I23" s="212">
        <f t="shared" si="8"/>
        <v>27.92908001</v>
      </c>
    </row>
    <row r="24" ht="22.5" customHeight="1">
      <c r="A24" s="1" t="s">
        <v>187</v>
      </c>
      <c r="B24" s="201">
        <f>'Main(automatic)'!L28</f>
        <v>0.4396775589</v>
      </c>
      <c r="C24" s="201">
        <f t="shared" si="5"/>
        <v>1.195824512</v>
      </c>
      <c r="D24" s="202">
        <f t="shared" si="6"/>
        <v>-0.0627910846</v>
      </c>
      <c r="E24" s="203" t="s">
        <v>424</v>
      </c>
      <c r="F24" s="204">
        <v>29.0</v>
      </c>
      <c r="G24" s="205">
        <f t="shared" si="7"/>
        <v>12.75064921</v>
      </c>
      <c r="H24" s="206"/>
      <c r="I24" s="207">
        <f t="shared" si="8"/>
        <v>0</v>
      </c>
    </row>
    <row r="25" ht="22.5" customHeight="1">
      <c r="A25" s="1" t="s">
        <v>189</v>
      </c>
      <c r="B25" s="201">
        <f>'Main(automatic)'!L29</f>
        <v>-0.01260426536</v>
      </c>
      <c r="C25" s="201">
        <f t="shared" si="5"/>
        <v>-0.03428077957</v>
      </c>
      <c r="D25" s="202">
        <f t="shared" si="6"/>
        <v>0.001800036133</v>
      </c>
      <c r="E25" s="208" t="s">
        <v>425</v>
      </c>
      <c r="F25" s="209"/>
      <c r="G25" s="210">
        <f t="shared" si="7"/>
        <v>0</v>
      </c>
      <c r="H25" s="211"/>
      <c r="I25" s="212">
        <f t="shared" si="8"/>
        <v>0</v>
      </c>
    </row>
    <row r="26" ht="22.5" customHeight="1">
      <c r="A26" s="1" t="s">
        <v>190</v>
      </c>
      <c r="B26" s="201">
        <f>'Main(automatic)'!L30</f>
        <v>5.336058438</v>
      </c>
      <c r="C26" s="201">
        <f t="shared" si="5"/>
        <v>14.51288415</v>
      </c>
      <c r="D26" s="202">
        <f t="shared" si="6"/>
        <v>-0.7620513943</v>
      </c>
      <c r="E26" s="203" t="s">
        <v>426</v>
      </c>
      <c r="F26" s="204">
        <v>3.0</v>
      </c>
      <c r="G26" s="205">
        <f t="shared" si="7"/>
        <v>16.00817531</v>
      </c>
      <c r="H26" s="206">
        <v>1.0</v>
      </c>
      <c r="I26" s="207">
        <f t="shared" si="8"/>
        <v>5.336058438</v>
      </c>
    </row>
    <row r="27" ht="22.5" customHeight="1">
      <c r="A27" s="1" t="s">
        <v>191</v>
      </c>
      <c r="B27" s="201">
        <f>'Main(automatic)'!L31</f>
        <v>-3.630808226</v>
      </c>
      <c r="C27" s="201">
        <f t="shared" si="5"/>
        <v>-9.874985402</v>
      </c>
      <c r="D27" s="202">
        <f t="shared" si="6"/>
        <v>0.518521771</v>
      </c>
      <c r="E27" s="208" t="s">
        <v>427</v>
      </c>
      <c r="F27" s="209">
        <v>1.0</v>
      </c>
      <c r="G27" s="210">
        <f t="shared" si="7"/>
        <v>-3.630808226</v>
      </c>
      <c r="H27" s="211">
        <v>2.0</v>
      </c>
      <c r="I27" s="212">
        <f t="shared" si="8"/>
        <v>-7.261616452</v>
      </c>
    </row>
    <row r="28" ht="22.5" customHeight="1">
      <c r="A28" s="1" t="s">
        <v>192</v>
      </c>
      <c r="B28" s="201">
        <f>'Main(automatic)'!L32</f>
        <v>3.770213012</v>
      </c>
      <c r="C28" s="201">
        <f t="shared" si="5"/>
        <v>10.2541352</v>
      </c>
      <c r="D28" s="202">
        <f t="shared" si="6"/>
        <v>-0.5384304007</v>
      </c>
      <c r="E28" s="203" t="s">
        <v>428</v>
      </c>
      <c r="F28" s="204"/>
      <c r="G28" s="205">
        <f t="shared" si="7"/>
        <v>0</v>
      </c>
      <c r="H28" s="211">
        <v>3.0</v>
      </c>
      <c r="I28" s="207">
        <f t="shared" si="8"/>
        <v>11.31063904</v>
      </c>
    </row>
    <row r="29" ht="22.5" customHeight="1">
      <c r="A29" s="1" t="s">
        <v>193</v>
      </c>
      <c r="B29" s="201">
        <f>'Main(automatic)'!L33</f>
        <v>3.434855626</v>
      </c>
      <c r="C29" s="201">
        <f t="shared" si="5"/>
        <v>9.342038206</v>
      </c>
      <c r="D29" s="202">
        <f t="shared" si="6"/>
        <v>-0.4905374538</v>
      </c>
      <c r="E29" s="208" t="s">
        <v>429</v>
      </c>
      <c r="F29" s="209"/>
      <c r="G29" s="210">
        <f t="shared" si="7"/>
        <v>0</v>
      </c>
      <c r="H29" s="211"/>
      <c r="I29" s="212">
        <f t="shared" si="8"/>
        <v>0</v>
      </c>
    </row>
    <row r="30" ht="22.5" customHeight="1">
      <c r="A30" s="1" t="s">
        <v>194</v>
      </c>
      <c r="B30" s="201">
        <f>'Main(automatic)'!L34</f>
        <v>-3.437624968</v>
      </c>
      <c r="C30" s="201">
        <f t="shared" si="5"/>
        <v>-9.349570194</v>
      </c>
      <c r="D30" s="202">
        <f t="shared" si="6"/>
        <v>0.490932948</v>
      </c>
      <c r="E30" s="203" t="s">
        <v>430</v>
      </c>
      <c r="F30" s="204"/>
      <c r="G30" s="205">
        <f t="shared" si="7"/>
        <v>0</v>
      </c>
      <c r="H30" s="206"/>
      <c r="I30" s="207">
        <f t="shared" si="8"/>
        <v>0</v>
      </c>
    </row>
    <row r="31" ht="22.5" customHeight="1">
      <c r="A31" s="1" t="s">
        <v>195</v>
      </c>
      <c r="B31" s="201">
        <f>'Main(automatic)'!L35</f>
        <v>-7.002229086</v>
      </c>
      <c r="C31" s="201">
        <f t="shared" si="5"/>
        <v>-19.04449524</v>
      </c>
      <c r="D31" s="202">
        <f t="shared" si="6"/>
        <v>1</v>
      </c>
      <c r="E31" s="208" t="s">
        <v>431</v>
      </c>
      <c r="F31" s="209"/>
      <c r="G31" s="210">
        <f t="shared" si="7"/>
        <v>0</v>
      </c>
      <c r="H31" s="211"/>
      <c r="I31" s="212">
        <f t="shared" si="8"/>
        <v>0</v>
      </c>
    </row>
    <row r="32" ht="22.5" customHeight="1">
      <c r="A32" s="1" t="s">
        <v>196</v>
      </c>
      <c r="B32" s="201">
        <f>'Main(automatic)'!L36</f>
        <v>-3.422559596</v>
      </c>
      <c r="C32" s="201">
        <f t="shared" si="5"/>
        <v>-9.308595757</v>
      </c>
      <c r="D32" s="202">
        <f t="shared" si="6"/>
        <v>0.4887814372</v>
      </c>
      <c r="E32" s="203" t="s">
        <v>432</v>
      </c>
      <c r="F32" s="204"/>
      <c r="G32" s="205">
        <f t="shared" si="7"/>
        <v>0</v>
      </c>
      <c r="H32" s="206"/>
      <c r="I32" s="207">
        <f t="shared" si="8"/>
        <v>0</v>
      </c>
    </row>
    <row r="33" ht="22.5" customHeight="1">
      <c r="A33" s="1" t="s">
        <v>197</v>
      </c>
      <c r="B33" s="201">
        <f>'Main(automatic)'!L37</f>
        <v>-3.579669489</v>
      </c>
      <c r="C33" s="201">
        <f t="shared" si="5"/>
        <v>-9.735899488</v>
      </c>
      <c r="D33" s="202">
        <f t="shared" si="6"/>
        <v>0.5112185628</v>
      </c>
      <c r="E33" s="208" t="s">
        <v>433</v>
      </c>
      <c r="F33" s="209"/>
      <c r="G33" s="210">
        <f t="shared" si="7"/>
        <v>0</v>
      </c>
      <c r="H33" s="211"/>
      <c r="I33" s="212">
        <f t="shared" si="8"/>
        <v>0</v>
      </c>
    </row>
    <row r="34" ht="22.5" customHeight="1">
      <c r="A34" s="1" t="s">
        <v>198</v>
      </c>
      <c r="B34" s="201">
        <f>'Main(automatic)'!L38</f>
        <v>-2.421096191</v>
      </c>
      <c r="C34" s="201">
        <f t="shared" si="5"/>
        <v>-6.584839533</v>
      </c>
      <c r="D34" s="202">
        <f t="shared" si="6"/>
        <v>0.3457607801</v>
      </c>
      <c r="E34" s="203" t="s">
        <v>434</v>
      </c>
      <c r="F34" s="204"/>
      <c r="G34" s="205">
        <f t="shared" si="7"/>
        <v>0</v>
      </c>
      <c r="H34" s="206"/>
      <c r="I34" s="207">
        <f t="shared" si="8"/>
        <v>0</v>
      </c>
    </row>
    <row r="35" ht="22.5" customHeight="1">
      <c r="A35" s="1" t="s">
        <v>199</v>
      </c>
      <c r="B35" s="201">
        <f>'Main(automatic)'!L39</f>
        <v>-1.571241502</v>
      </c>
      <c r="C35" s="201">
        <f t="shared" si="5"/>
        <v>-4.27342507</v>
      </c>
      <c r="D35" s="202">
        <f t="shared" si="6"/>
        <v>0.2243916163</v>
      </c>
      <c r="E35" s="208" t="s">
        <v>435</v>
      </c>
      <c r="F35" s="209"/>
      <c r="G35" s="210">
        <f t="shared" si="7"/>
        <v>0</v>
      </c>
      <c r="H35" s="211"/>
      <c r="I35" s="212">
        <f t="shared" si="8"/>
        <v>0</v>
      </c>
    </row>
    <row r="36" ht="22.5" customHeight="1">
      <c r="A36" s="1" t="s">
        <v>200</v>
      </c>
      <c r="B36" s="201">
        <f>'Main(automatic)'!L40</f>
        <v>-3.4193023</v>
      </c>
      <c r="C36" s="201">
        <f t="shared" si="5"/>
        <v>-9.299736641</v>
      </c>
      <c r="D36" s="202">
        <f t="shared" si="6"/>
        <v>0.4883162573</v>
      </c>
      <c r="E36" s="203" t="s">
        <v>436</v>
      </c>
      <c r="F36" s="204"/>
      <c r="G36" s="205">
        <f t="shared" si="7"/>
        <v>0</v>
      </c>
      <c r="H36" s="206"/>
      <c r="I36" s="207">
        <f t="shared" si="8"/>
        <v>0</v>
      </c>
    </row>
    <row r="37" ht="22.5" customHeight="1">
      <c r="E37" s="215" t="s">
        <v>354</v>
      </c>
      <c r="F37" s="216"/>
      <c r="G37" s="217">
        <f>SUM(G22:G36)</f>
        <v>96.66208377</v>
      </c>
      <c r="H37" s="218"/>
      <c r="I37" s="217">
        <f>SUM(I22:I36)</f>
        <v>93.93646923</v>
      </c>
    </row>
  </sheetData>
  <dataValidations>
    <dataValidation type="custom" allowBlank="1" showDropDown="1" sqref="G3:G18 I3:I18 G22:G37 I22:I37">
      <formula1>AND(ISNUMBER(G3),(NOT(OR(NOT(ISERROR(DATEVALUE(G3))), AND(ISNUMBER(G3), LEFT(CELL("format", G3))="D")))))</formula1>
    </dataValidation>
  </dataValidations>
  <drawing r:id="rId1"/>
  <tableParts count="2">
    <tablePart r:id="rId4"/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19.5"/>
    <col customWidth="1" min="5" max="5" width="20.75"/>
    <col customWidth="1" min="7" max="7" width="16.63"/>
    <col customWidth="1" min="8" max="8" width="15.5"/>
    <col customWidth="1" min="9" max="9" width="15.13"/>
    <col customWidth="1" min="10" max="10" width="14.63"/>
    <col customWidth="1" min="11" max="11" width="16.25"/>
    <col customWidth="1" min="12" max="12" width="23.88"/>
    <col customWidth="1" min="13" max="13" width="19.25"/>
    <col customWidth="1" min="14" max="14" width="17.38"/>
  </cols>
  <sheetData>
    <row r="1">
      <c r="A1" s="219" t="s">
        <v>438</v>
      </c>
      <c r="B1" s="219" t="s">
        <v>439</v>
      </c>
      <c r="C1" s="219" t="s">
        <v>440</v>
      </c>
      <c r="D1" s="219" t="s">
        <v>441</v>
      </c>
      <c r="E1" s="219" t="s">
        <v>442</v>
      </c>
      <c r="G1" s="219" t="s">
        <v>443</v>
      </c>
      <c r="H1" s="220" t="s">
        <v>444</v>
      </c>
      <c r="I1" s="220" t="s">
        <v>445</v>
      </c>
      <c r="J1" s="220" t="s">
        <v>446</v>
      </c>
      <c r="K1" s="220" t="s">
        <v>447</v>
      </c>
      <c r="L1" s="220" t="s">
        <v>448</v>
      </c>
      <c r="M1" s="220" t="s">
        <v>449</v>
      </c>
      <c r="N1" s="220" t="s">
        <v>450</v>
      </c>
      <c r="O1" s="220" t="s">
        <v>451</v>
      </c>
    </row>
    <row r="2">
      <c r="A2" s="1" t="s">
        <v>452</v>
      </c>
      <c r="B2" s="221">
        <v>0.27</v>
      </c>
      <c r="C2" s="221">
        <v>0.0</v>
      </c>
      <c r="D2" s="8">
        <v>198.0</v>
      </c>
      <c r="E2" s="222" t="s">
        <v>453</v>
      </c>
      <c r="H2" s="223" t="s">
        <v>454</v>
      </c>
      <c r="I2" s="223" t="s">
        <v>455</v>
      </c>
      <c r="J2" s="223" t="s">
        <v>456</v>
      </c>
      <c r="K2" s="223" t="s">
        <v>455</v>
      </c>
      <c r="L2" s="223" t="s">
        <v>456</v>
      </c>
      <c r="M2" s="8" t="s">
        <v>456</v>
      </c>
      <c r="N2" s="8" t="s">
        <v>456</v>
      </c>
      <c r="O2" s="8" t="s">
        <v>455</v>
      </c>
    </row>
    <row r="3" ht="29.25" customHeight="1">
      <c r="A3" s="1" t="s">
        <v>218</v>
      </c>
      <c r="B3" s="221">
        <v>0.27</v>
      </c>
      <c r="C3" s="221">
        <v>0.25</v>
      </c>
      <c r="D3" s="8">
        <v>198.0</v>
      </c>
      <c r="E3" s="222" t="s">
        <v>457</v>
      </c>
      <c r="H3" s="223" t="s">
        <v>454</v>
      </c>
      <c r="I3" s="223" t="s">
        <v>455</v>
      </c>
      <c r="J3" s="223" t="s">
        <v>456</v>
      </c>
      <c r="K3" s="223" t="s">
        <v>455</v>
      </c>
      <c r="L3" s="223" t="s">
        <v>456</v>
      </c>
      <c r="M3" s="8" t="s">
        <v>456</v>
      </c>
      <c r="N3" s="8" t="s">
        <v>456</v>
      </c>
      <c r="O3" s="8" t="s">
        <v>455</v>
      </c>
    </row>
    <row r="4">
      <c r="A4" s="1" t="s">
        <v>458</v>
      </c>
      <c r="B4" s="21">
        <v>0.386</v>
      </c>
      <c r="C4" s="221">
        <v>0.1</v>
      </c>
      <c r="D4" s="86" t="s">
        <v>459</v>
      </c>
      <c r="E4" s="222" t="s">
        <v>460</v>
      </c>
      <c r="H4" s="223" t="s">
        <v>454</v>
      </c>
      <c r="I4" s="223" t="s">
        <v>455</v>
      </c>
      <c r="J4" s="223" t="s">
        <v>456</v>
      </c>
      <c r="K4" s="223" t="s">
        <v>455</v>
      </c>
      <c r="L4" s="223" t="s">
        <v>456</v>
      </c>
      <c r="M4" s="8" t="s">
        <v>456</v>
      </c>
      <c r="N4" s="8" t="s">
        <v>456</v>
      </c>
      <c r="O4" s="8" t="s">
        <v>455</v>
      </c>
    </row>
    <row r="5">
      <c r="A5" s="1" t="s">
        <v>461</v>
      </c>
      <c r="B5" s="21">
        <v>0.1495</v>
      </c>
      <c r="C5" s="221">
        <v>0.06</v>
      </c>
      <c r="D5" s="8">
        <v>293.0</v>
      </c>
      <c r="E5" s="222" t="s">
        <v>462</v>
      </c>
      <c r="H5" s="223" t="s">
        <v>456</v>
      </c>
      <c r="I5" s="223" t="s">
        <v>455</v>
      </c>
      <c r="J5" s="223" t="s">
        <v>455</v>
      </c>
      <c r="K5" s="223" t="s">
        <v>455</v>
      </c>
      <c r="L5" s="223" t="s">
        <v>455</v>
      </c>
      <c r="M5" s="223" t="s">
        <v>455</v>
      </c>
      <c r="N5" s="223" t="s">
        <v>455</v>
      </c>
      <c r="O5" s="223" t="s">
        <v>455</v>
      </c>
    </row>
    <row r="6">
      <c r="A6" s="1" t="s">
        <v>463</v>
      </c>
      <c r="B6" s="86" t="s">
        <v>464</v>
      </c>
      <c r="C6" s="86" t="s">
        <v>465</v>
      </c>
      <c r="D6" s="86" t="s">
        <v>466</v>
      </c>
      <c r="E6" s="222" t="s">
        <v>462</v>
      </c>
      <c r="H6" s="223" t="s">
        <v>456</v>
      </c>
      <c r="I6" s="223" t="s">
        <v>455</v>
      </c>
      <c r="J6" s="223" t="s">
        <v>455</v>
      </c>
      <c r="K6" s="223" t="s">
        <v>455</v>
      </c>
      <c r="L6" s="223" t="s">
        <v>455</v>
      </c>
      <c r="M6" s="223" t="s">
        <v>455</v>
      </c>
      <c r="N6" s="223" t="s">
        <v>455</v>
      </c>
      <c r="O6" s="223" t="s">
        <v>455</v>
      </c>
    </row>
    <row r="7">
      <c r="A7" s="1" t="s">
        <v>467</v>
      </c>
      <c r="B7" s="221">
        <v>0.1</v>
      </c>
      <c r="C7" s="221">
        <v>0.0</v>
      </c>
      <c r="D7" s="86" t="s">
        <v>468</v>
      </c>
      <c r="E7" s="222" t="s">
        <v>469</v>
      </c>
      <c r="H7" s="223" t="s">
        <v>456</v>
      </c>
      <c r="I7" s="223" t="s">
        <v>455</v>
      </c>
      <c r="J7" s="223" t="s">
        <v>455</v>
      </c>
      <c r="K7" s="223" t="s">
        <v>455</v>
      </c>
      <c r="L7" s="223" t="s">
        <v>455</v>
      </c>
      <c r="M7" s="223" t="s">
        <v>455</v>
      </c>
      <c r="N7" s="223" t="s">
        <v>455</v>
      </c>
      <c r="O7" s="223" t="s">
        <v>455</v>
      </c>
    </row>
    <row r="8">
      <c r="A8" s="1" t="s">
        <v>470</v>
      </c>
      <c r="B8" s="21">
        <v>0.0333</v>
      </c>
      <c r="C8" s="221">
        <v>0.0</v>
      </c>
      <c r="D8" s="8">
        <v>75.0</v>
      </c>
      <c r="E8" s="222" t="s">
        <v>471</v>
      </c>
      <c r="H8" s="223" t="s">
        <v>456</v>
      </c>
      <c r="I8" s="223" t="s">
        <v>455</v>
      </c>
      <c r="J8" s="223" t="s">
        <v>455</v>
      </c>
      <c r="K8" s="223" t="s">
        <v>455</v>
      </c>
      <c r="L8" s="223" t="s">
        <v>455</v>
      </c>
      <c r="M8" s="223" t="s">
        <v>455</v>
      </c>
      <c r="N8" s="223" t="s">
        <v>455</v>
      </c>
      <c r="O8" s="223" t="s">
        <v>455</v>
      </c>
    </row>
    <row r="9">
      <c r="A9" s="1" t="s">
        <v>472</v>
      </c>
      <c r="B9" s="221">
        <v>0.15</v>
      </c>
      <c r="C9" s="221">
        <v>0.0</v>
      </c>
      <c r="D9" s="86" t="s">
        <v>473</v>
      </c>
      <c r="E9" s="222" t="s">
        <v>474</v>
      </c>
      <c r="H9" s="223" t="s">
        <v>456</v>
      </c>
      <c r="I9" s="223" t="s">
        <v>455</v>
      </c>
      <c r="J9" s="223" t="s">
        <v>455</v>
      </c>
      <c r="K9" s="223" t="s">
        <v>455</v>
      </c>
      <c r="L9" s="223" t="s">
        <v>455</v>
      </c>
      <c r="M9" s="223" t="s">
        <v>455</v>
      </c>
      <c r="N9" s="223" t="s">
        <v>455</v>
      </c>
      <c r="O9" s="223" t="s">
        <v>455</v>
      </c>
    </row>
    <row r="10">
      <c r="B10" s="221"/>
      <c r="C10" s="221"/>
    </row>
    <row r="12">
      <c r="A12" s="1" t="s">
        <v>475</v>
      </c>
      <c r="I12" s="1" t="s">
        <v>476</v>
      </c>
    </row>
    <row r="13">
      <c r="A13" s="8" t="s">
        <v>477</v>
      </c>
      <c r="B13" s="8" t="s">
        <v>478</v>
      </c>
    </row>
    <row r="14">
      <c r="A14" s="8" t="s">
        <v>479</v>
      </c>
      <c r="B14" s="8" t="s">
        <v>480</v>
      </c>
      <c r="I14" s="8" t="s">
        <v>481</v>
      </c>
    </row>
    <row r="15">
      <c r="A15" s="8" t="s">
        <v>482</v>
      </c>
      <c r="B15" s="8" t="s">
        <v>483</v>
      </c>
      <c r="I15" s="8" t="s">
        <v>484</v>
      </c>
    </row>
    <row r="16">
      <c r="A16" s="8" t="s">
        <v>485</v>
      </c>
      <c r="B16" s="1" t="s">
        <v>486</v>
      </c>
      <c r="I16" s="8" t="s">
        <v>487</v>
      </c>
    </row>
    <row r="17">
      <c r="A17" s="8" t="s">
        <v>488</v>
      </c>
      <c r="B17" s="8" t="s">
        <v>489</v>
      </c>
      <c r="I17" s="8" t="s">
        <v>490</v>
      </c>
    </row>
    <row r="18">
      <c r="A18" s="8" t="s">
        <v>491</v>
      </c>
      <c r="B18" s="8" t="s">
        <v>492</v>
      </c>
      <c r="I18" s="8" t="s">
        <v>493</v>
      </c>
    </row>
    <row r="19">
      <c r="A19" s="8" t="s">
        <v>494</v>
      </c>
      <c r="B19" s="8" t="s">
        <v>495</v>
      </c>
      <c r="J19" s="8" t="s">
        <v>496</v>
      </c>
      <c r="K19" s="8" t="s">
        <v>497</v>
      </c>
    </row>
    <row r="20">
      <c r="J20" s="8" t="s">
        <v>498</v>
      </c>
      <c r="K20" s="8" t="s">
        <v>499</v>
      </c>
    </row>
    <row r="23">
      <c r="A23" s="8" t="s">
        <v>500</v>
      </c>
      <c r="D23" s="8" t="s">
        <v>501</v>
      </c>
    </row>
    <row r="24">
      <c r="A24" s="8" t="s">
        <v>477</v>
      </c>
      <c r="B24" s="8" t="s">
        <v>502</v>
      </c>
      <c r="F24" s="88">
        <f>D3+(500*B3)+(1500*C3)</f>
        <v>708</v>
      </c>
    </row>
    <row r="25">
      <c r="A25" s="8" t="s">
        <v>479</v>
      </c>
      <c r="B25" s="8" t="s">
        <v>503</v>
      </c>
      <c r="F25" s="75">
        <f>F24 * 1.25 * 1.05 * 1.1 * 1.1</f>
        <v>1124.3925</v>
      </c>
    </row>
    <row r="26">
      <c r="A26" s="8" t="s">
        <v>482</v>
      </c>
      <c r="B26" s="8" t="s">
        <v>504</v>
      </c>
      <c r="F26" s="75">
        <f>F25 * (0.83 + 0.12)</f>
        <v>1068.172875</v>
      </c>
    </row>
    <row r="27">
      <c r="A27" s="8" t="s">
        <v>485</v>
      </c>
      <c r="B27" s="8" t="s">
        <v>505</v>
      </c>
      <c r="D27" s="8" t="s">
        <v>506</v>
      </c>
      <c r="F27" s="75">
        <f>(F26 * 2 * 0) + (F26 * (1 - 0))</f>
        <v>1068.172875</v>
      </c>
    </row>
    <row r="28">
      <c r="A28" s="8" t="s">
        <v>488</v>
      </c>
      <c r="B28" s="8" t="s">
        <v>507</v>
      </c>
      <c r="F28" s="75">
        <f>F27 * (1- ((15*0.0025) + (0.02 * 3)))</f>
        <v>964.0260197</v>
      </c>
    </row>
    <row r="29">
      <c r="A29" s="8" t="s">
        <v>491</v>
      </c>
      <c r="B29" s="8" t="s">
        <v>508</v>
      </c>
      <c r="F29" s="75">
        <f>F28 / 9</f>
        <v>107.1140022</v>
      </c>
    </row>
    <row r="32">
      <c r="A32" s="1" t="s">
        <v>509</v>
      </c>
      <c r="B32" s="8" t="s">
        <v>510</v>
      </c>
    </row>
    <row r="33">
      <c r="A33" s="1" t="s">
        <v>509</v>
      </c>
      <c r="B33" s="8" t="s">
        <v>511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20" t="s">
        <v>512</v>
      </c>
      <c r="C1" s="220" t="s">
        <v>513</v>
      </c>
      <c r="E1" s="220" t="s">
        <v>67</v>
      </c>
      <c r="F1" s="220" t="s">
        <v>106</v>
      </c>
      <c r="G1" s="220" t="s">
        <v>128</v>
      </c>
      <c r="H1" s="220" t="s">
        <v>91</v>
      </c>
    </row>
    <row r="2">
      <c r="A2" s="224" t="s">
        <v>219</v>
      </c>
      <c r="B2" s="8">
        <v>492.0</v>
      </c>
      <c r="C2" s="8">
        <v>520.0</v>
      </c>
      <c r="E2" s="8" t="b">
        <v>1</v>
      </c>
      <c r="F2" s="88" t="b">
        <v>0</v>
      </c>
      <c r="G2" s="8" t="b">
        <v>1</v>
      </c>
      <c r="H2" s="88" t="b">
        <v>0</v>
      </c>
    </row>
    <row r="3">
      <c r="A3" s="224" t="s">
        <v>281</v>
      </c>
      <c r="B3" s="8">
        <v>428.0</v>
      </c>
      <c r="C3" s="8">
        <v>477.0</v>
      </c>
      <c r="E3" s="8" t="b">
        <v>1</v>
      </c>
      <c r="F3" s="88" t="b">
        <v>0</v>
      </c>
      <c r="G3" s="8" t="b">
        <v>1</v>
      </c>
      <c r="H3" s="88" t="b">
        <v>0</v>
      </c>
    </row>
    <row r="4">
      <c r="A4" s="224" t="s">
        <v>282</v>
      </c>
      <c r="B4" s="8">
        <v>505.0</v>
      </c>
      <c r="C4" s="8">
        <v>564.0</v>
      </c>
      <c r="E4" s="8" t="b">
        <v>1</v>
      </c>
      <c r="F4" s="88" t="b">
        <v>0</v>
      </c>
      <c r="G4" s="8" t="b">
        <v>1</v>
      </c>
      <c r="H4" s="88" t="b">
        <v>0</v>
      </c>
    </row>
    <row r="5">
      <c r="A5" s="224" t="s">
        <v>222</v>
      </c>
      <c r="B5" s="8">
        <v>198.0</v>
      </c>
      <c r="C5" s="8">
        <v>198.0</v>
      </c>
      <c r="E5" s="8" t="b">
        <v>0</v>
      </c>
      <c r="F5" s="88" t="b">
        <v>0</v>
      </c>
      <c r="G5" s="8" t="b">
        <v>1</v>
      </c>
      <c r="H5" s="88" t="b">
        <v>0</v>
      </c>
    </row>
    <row r="6">
      <c r="A6" s="224" t="s">
        <v>514</v>
      </c>
      <c r="E6" s="88" t="b">
        <v>0</v>
      </c>
      <c r="F6" s="88" t="b">
        <v>0</v>
      </c>
      <c r="G6" s="8" t="b">
        <v>1</v>
      </c>
      <c r="H6" s="88" t="b">
        <v>0</v>
      </c>
    </row>
    <row r="7">
      <c r="A7" s="225" t="s">
        <v>515</v>
      </c>
      <c r="B7" s="8">
        <v>293.0</v>
      </c>
      <c r="C7" s="8">
        <v>293.0</v>
      </c>
      <c r="E7" s="8" t="b">
        <v>1</v>
      </c>
      <c r="F7" s="8" t="b">
        <v>1</v>
      </c>
      <c r="G7" s="8" t="b">
        <v>1</v>
      </c>
      <c r="H7" s="8" t="b">
        <v>1</v>
      </c>
    </row>
    <row r="8">
      <c r="A8" s="225" t="s">
        <v>516</v>
      </c>
      <c r="B8" s="8">
        <v>410.0</v>
      </c>
      <c r="C8" s="8">
        <v>410.0</v>
      </c>
      <c r="E8" s="8" t="b">
        <v>1</v>
      </c>
      <c r="F8" s="8" t="b">
        <v>1</v>
      </c>
      <c r="G8" s="8" t="b">
        <v>1</v>
      </c>
      <c r="H8" s="8" t="b">
        <v>1</v>
      </c>
    </row>
    <row r="9">
      <c r="A9" s="225" t="s">
        <v>283</v>
      </c>
      <c r="B9" s="8">
        <v>510.0</v>
      </c>
      <c r="C9" s="8">
        <v>550.0</v>
      </c>
      <c r="E9" s="8" t="b">
        <v>1</v>
      </c>
      <c r="F9" s="8" t="b">
        <v>1</v>
      </c>
      <c r="G9" s="8" t="b">
        <v>1</v>
      </c>
      <c r="H9" s="8" t="b">
        <v>1</v>
      </c>
    </row>
    <row r="10">
      <c r="A10" s="225" t="s">
        <v>215</v>
      </c>
      <c r="B10" s="8">
        <v>36.5</v>
      </c>
      <c r="C10" s="8">
        <v>112.4</v>
      </c>
      <c r="E10" s="88" t="b">
        <v>0</v>
      </c>
      <c r="F10" s="8" t="b">
        <v>1</v>
      </c>
      <c r="G10" s="8" t="b">
        <v>1</v>
      </c>
      <c r="H10" s="8" t="b">
        <v>1</v>
      </c>
    </row>
    <row r="11">
      <c r="A11" s="225" t="s">
        <v>467</v>
      </c>
      <c r="B11" s="8">
        <v>40.0</v>
      </c>
      <c r="C11" s="8">
        <v>54.0</v>
      </c>
      <c r="E11" s="88" t="b">
        <v>0</v>
      </c>
      <c r="F11" s="8" t="b">
        <v>1</v>
      </c>
      <c r="G11" s="8" t="b">
        <v>1</v>
      </c>
      <c r="H11" s="8" t="b">
        <v>1</v>
      </c>
    </row>
    <row r="12">
      <c r="A12" s="225" t="s">
        <v>470</v>
      </c>
      <c r="B12" s="8">
        <v>75.0</v>
      </c>
      <c r="C12" s="8">
        <v>75.0</v>
      </c>
      <c r="E12" s="88" t="b">
        <v>0</v>
      </c>
      <c r="F12" s="8" t="b">
        <v>1</v>
      </c>
      <c r="G12" s="8" t="b">
        <v>1</v>
      </c>
      <c r="H12" s="8" t="b">
        <v>1</v>
      </c>
    </row>
    <row r="13">
      <c r="A13" s="225" t="s">
        <v>517</v>
      </c>
      <c r="B13" s="8">
        <v>413.0</v>
      </c>
      <c r="C13" s="8">
        <v>459.0</v>
      </c>
      <c r="E13" s="88" t="b">
        <v>0</v>
      </c>
      <c r="F13" s="8" t="b">
        <v>1</v>
      </c>
      <c r="G13" s="8" t="b">
        <v>1</v>
      </c>
      <c r="H13" s="8" t="b">
        <v>1</v>
      </c>
    </row>
    <row r="14">
      <c r="A14" s="226" t="s">
        <v>518</v>
      </c>
      <c r="B14" s="8">
        <v>442.0</v>
      </c>
      <c r="C14" s="8">
        <v>470.0</v>
      </c>
      <c r="E14" s="8" t="b">
        <v>1</v>
      </c>
      <c r="F14" s="88" t="b">
        <v>0</v>
      </c>
      <c r="G14" s="88" t="b">
        <v>0</v>
      </c>
      <c r="H14" s="88" t="b">
        <v>0</v>
      </c>
    </row>
    <row r="15">
      <c r="A15" s="226" t="s">
        <v>384</v>
      </c>
      <c r="B15" s="8">
        <v>186.0</v>
      </c>
      <c r="C15" s="8">
        <v>187.0</v>
      </c>
      <c r="E15" s="88" t="b">
        <v>0</v>
      </c>
      <c r="F15" s="88" t="b">
        <v>0</v>
      </c>
      <c r="G15" s="88" t="b">
        <v>0</v>
      </c>
      <c r="H15" s="88" t="b">
        <v>0</v>
      </c>
    </row>
    <row r="20">
      <c r="A20" s="8" t="s">
        <v>519</v>
      </c>
      <c r="B20" s="71" t="s">
        <v>520</v>
      </c>
      <c r="C20" s="71" t="s">
        <v>521</v>
      </c>
      <c r="D20" s="71" t="s">
        <v>522</v>
      </c>
      <c r="E20" s="71" t="s">
        <v>523</v>
      </c>
    </row>
    <row r="21">
      <c r="A21" s="8" t="s">
        <v>215</v>
      </c>
      <c r="B21" s="71">
        <v>30.0</v>
      </c>
      <c r="C21" s="71">
        <v>76.0</v>
      </c>
      <c r="D21" s="71">
        <v>88.0</v>
      </c>
      <c r="E21" s="71" t="s">
        <v>524</v>
      </c>
    </row>
    <row r="25">
      <c r="B25" s="220" t="s">
        <v>525</v>
      </c>
      <c r="C25" s="220" t="s">
        <v>526</v>
      </c>
      <c r="D25" s="220" t="s">
        <v>527</v>
      </c>
      <c r="E25" s="220" t="s">
        <v>528</v>
      </c>
      <c r="F25" s="220" t="s">
        <v>529</v>
      </c>
      <c r="G25" s="227" t="s">
        <v>530</v>
      </c>
    </row>
    <row r="26">
      <c r="A26" s="228" t="s">
        <v>531</v>
      </c>
      <c r="C26" s="8" t="s">
        <v>532</v>
      </c>
      <c r="D26" s="8" t="s">
        <v>533</v>
      </c>
    </row>
    <row r="27">
      <c r="A27" s="228" t="s">
        <v>534</v>
      </c>
      <c r="B27" s="8" t="s">
        <v>535</v>
      </c>
      <c r="C27" s="8" t="s">
        <v>536</v>
      </c>
      <c r="D27" s="8" t="s">
        <v>537</v>
      </c>
      <c r="E27" s="8" t="s">
        <v>538</v>
      </c>
      <c r="F27" s="8" t="s">
        <v>539</v>
      </c>
      <c r="G27" s="8" t="s">
        <v>540</v>
      </c>
    </row>
    <row r="29">
      <c r="B29" s="220" t="s">
        <v>525</v>
      </c>
      <c r="C29" s="220" t="s">
        <v>526</v>
      </c>
      <c r="D29" s="220" t="s">
        <v>541</v>
      </c>
      <c r="E29" s="220" t="s">
        <v>542</v>
      </c>
      <c r="F29" s="220" t="s">
        <v>543</v>
      </c>
    </row>
    <row r="30">
      <c r="A30" s="228" t="s">
        <v>515</v>
      </c>
      <c r="B30" s="8">
        <v>316.0</v>
      </c>
      <c r="C30" s="8">
        <v>333.0</v>
      </c>
      <c r="D30" s="8">
        <v>348.0</v>
      </c>
      <c r="E30" s="8">
        <v>381.0</v>
      </c>
      <c r="F30" s="8">
        <v>394.0</v>
      </c>
      <c r="H30" s="8" t="s">
        <v>544</v>
      </c>
    </row>
    <row r="31">
      <c r="A31" s="228" t="s">
        <v>545</v>
      </c>
      <c r="B31" s="8">
        <v>86.0</v>
      </c>
      <c r="C31" s="8">
        <v>94.0</v>
      </c>
      <c r="D31" s="8">
        <v>101.0</v>
      </c>
      <c r="E31" s="8">
        <v>116.0</v>
      </c>
      <c r="F31" s="8">
        <v>122.0</v>
      </c>
      <c r="H31" s="8" t="s">
        <v>546</v>
      </c>
    </row>
    <row r="32">
      <c r="A32" s="228" t="s">
        <v>547</v>
      </c>
      <c r="B32" s="8">
        <v>163.0</v>
      </c>
      <c r="C32" s="8">
        <v>180.0</v>
      </c>
      <c r="D32" s="8">
        <v>195.0</v>
      </c>
      <c r="E32" s="8">
        <v>228.0</v>
      </c>
      <c r="F32" s="8">
        <v>241.0</v>
      </c>
      <c r="G32" s="8" t="s">
        <v>548</v>
      </c>
    </row>
    <row r="33">
      <c r="A33" s="228" t="s">
        <v>549</v>
      </c>
      <c r="B33" s="8">
        <v>42.0</v>
      </c>
      <c r="C33" s="8">
        <v>50.0</v>
      </c>
      <c r="D33" s="8">
        <v>57.0</v>
      </c>
      <c r="E33" s="8">
        <v>72.0</v>
      </c>
      <c r="F33" s="8">
        <v>78.0</v>
      </c>
      <c r="G33" s="8" t="s">
        <v>550</v>
      </c>
    </row>
    <row r="35">
      <c r="A35" s="228" t="s">
        <v>551</v>
      </c>
      <c r="B35" s="8" t="s">
        <v>552</v>
      </c>
      <c r="C35" s="8" t="s">
        <v>553</v>
      </c>
      <c r="D35" s="8" t="s">
        <v>554</v>
      </c>
      <c r="E35" s="8" t="s">
        <v>555</v>
      </c>
      <c r="F35" s="8" t="s">
        <v>556</v>
      </c>
      <c r="G35" s="8" t="s">
        <v>557</v>
      </c>
    </row>
    <row r="37">
      <c r="A37" s="228" t="s">
        <v>558</v>
      </c>
      <c r="B37" s="8" t="s">
        <v>559</v>
      </c>
      <c r="C37" s="8" t="s">
        <v>560</v>
      </c>
      <c r="D37" s="8" t="s">
        <v>561</v>
      </c>
      <c r="E37" s="8" t="s">
        <v>562</v>
      </c>
      <c r="F37" s="8" t="s">
        <v>563</v>
      </c>
      <c r="G37" s="8" t="s">
        <v>564</v>
      </c>
    </row>
    <row r="39">
      <c r="A39" s="228" t="s">
        <v>565</v>
      </c>
      <c r="B39" s="8" t="s">
        <v>566</v>
      </c>
      <c r="C39" s="8" t="s">
        <v>567</v>
      </c>
      <c r="D39" s="8" t="s">
        <v>568</v>
      </c>
      <c r="E39" s="8" t="s">
        <v>569</v>
      </c>
      <c r="F39" s="8" t="s">
        <v>570</v>
      </c>
      <c r="G39" s="8" t="s">
        <v>571</v>
      </c>
    </row>
    <row r="41">
      <c r="A41" s="228" t="s">
        <v>572</v>
      </c>
      <c r="B41" s="8" t="s">
        <v>573</v>
      </c>
      <c r="C41" s="8" t="s">
        <v>574</v>
      </c>
    </row>
    <row r="42">
      <c r="A42" s="228" t="s">
        <v>575</v>
      </c>
      <c r="B42" s="8" t="s">
        <v>576</v>
      </c>
      <c r="C42" s="8" t="s">
        <v>577</v>
      </c>
    </row>
    <row r="43">
      <c r="A43" s="228" t="s">
        <v>578</v>
      </c>
      <c r="B43" s="8" t="s">
        <v>579</v>
      </c>
      <c r="C43" s="8" t="s">
        <v>580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17.5"/>
    <col customWidth="1" min="17" max="17" width="20.38"/>
    <col customWidth="1" min="18" max="18" width="21.0"/>
    <col customWidth="1" min="19" max="19" width="20.38"/>
    <col customWidth="1" min="20" max="20" width="15.88"/>
  </cols>
  <sheetData>
    <row r="1" ht="22.5" customHeight="1">
      <c r="K1" s="8" t="s">
        <v>581</v>
      </c>
      <c r="O1" s="229" t="s">
        <v>582</v>
      </c>
      <c r="P1" s="229" t="s">
        <v>583</v>
      </c>
      <c r="Q1" s="229" t="s">
        <v>584</v>
      </c>
      <c r="R1" s="229" t="s">
        <v>585</v>
      </c>
      <c r="S1" s="229" t="s">
        <v>586</v>
      </c>
      <c r="T1" s="198" t="s">
        <v>587</v>
      </c>
      <c r="V1" s="8" t="s">
        <v>588</v>
      </c>
      <c r="X1" s="8" t="s">
        <v>589</v>
      </c>
    </row>
    <row r="2" ht="22.5" customHeight="1">
      <c r="K2" s="8" t="s">
        <v>590</v>
      </c>
      <c r="L2" s="8">
        <v>1.5</v>
      </c>
      <c r="O2" s="230">
        <v>0.0</v>
      </c>
      <c r="P2" s="230">
        <f t="shared" ref="P2:P152" si="1">O2*$L$4+$L$5</f>
        <v>2100</v>
      </c>
      <c r="Q2" s="231" t="str">
        <f t="shared" ref="Q2:Q152" si="2">IF(O2 &lt; $L$2, NA(), $L$7*(O2-$L$2) + $L$8)</f>
        <v>#N/A</v>
      </c>
      <c r="R2" s="231" t="str">
        <f t="shared" ref="R2:R152" si="3">IF(O2 &lt; $L$2, NA(), $L$7*(O2-$L$2) + $M$8)</f>
        <v>#N/A</v>
      </c>
      <c r="S2" s="231" t="str">
        <f t="shared" ref="S2:S152" si="4">IF(O2 &lt; $L$2, NA(), $L$10*(O2-$L$2) + $L$11)</f>
        <v>#N/A</v>
      </c>
      <c r="T2" s="231" t="str">
        <f t="shared" ref="T2:T152" si="5">IF(O2 &lt; $L$2, NA(), $L$10*(O2-$L$2) + $M$11)</f>
        <v>#N/A</v>
      </c>
      <c r="V2" s="88" t="str">
        <f t="shared" ref="V2:V152" si="6">P2-Q2</f>
        <v>#N/A</v>
      </c>
      <c r="W2" s="88" t="str">
        <f t="shared" ref="W2:W152" si="7">P2-S2</f>
        <v>#N/A</v>
      </c>
      <c r="X2" s="8" t="str">
        <f t="shared" ref="X2:X152" si="8">P2-R2</f>
        <v>#N/A</v>
      </c>
      <c r="Y2" s="88" t="str">
        <f t="shared" ref="Y2:Y152" si="9">P2-T2</f>
        <v>#N/A</v>
      </c>
    </row>
    <row r="3" ht="22.5" customHeight="1">
      <c r="K3" s="8" t="s">
        <v>591</v>
      </c>
      <c r="L3" s="8">
        <v>0.8</v>
      </c>
      <c r="O3" s="230">
        <v>0.1</v>
      </c>
      <c r="P3" s="230">
        <f t="shared" si="1"/>
        <v>2260</v>
      </c>
      <c r="Q3" s="231" t="str">
        <f t="shared" si="2"/>
        <v>#N/A</v>
      </c>
      <c r="R3" s="231" t="str">
        <f t="shared" si="3"/>
        <v>#N/A</v>
      </c>
      <c r="S3" s="231" t="str">
        <f t="shared" si="4"/>
        <v>#N/A</v>
      </c>
      <c r="T3" s="231" t="str">
        <f t="shared" si="5"/>
        <v>#N/A</v>
      </c>
      <c r="V3" s="88" t="str">
        <f t="shared" si="6"/>
        <v>#N/A</v>
      </c>
      <c r="W3" s="88" t="str">
        <f t="shared" si="7"/>
        <v>#N/A</v>
      </c>
      <c r="X3" s="8" t="str">
        <f t="shared" si="8"/>
        <v>#N/A</v>
      </c>
      <c r="Y3" s="88" t="str">
        <f t="shared" si="9"/>
        <v>#N/A</v>
      </c>
    </row>
    <row r="4" ht="22.5" customHeight="1">
      <c r="K4" s="8" t="s">
        <v>592</v>
      </c>
      <c r="L4" s="8">
        <v>1600.0</v>
      </c>
      <c r="O4" s="230">
        <v>0.2</v>
      </c>
      <c r="P4" s="230">
        <f t="shared" si="1"/>
        <v>2420</v>
      </c>
      <c r="Q4" s="231" t="str">
        <f t="shared" si="2"/>
        <v>#N/A</v>
      </c>
      <c r="R4" s="231" t="str">
        <f t="shared" si="3"/>
        <v>#N/A</v>
      </c>
      <c r="S4" s="231" t="str">
        <f t="shared" si="4"/>
        <v>#N/A</v>
      </c>
      <c r="T4" s="231" t="str">
        <f t="shared" si="5"/>
        <v>#N/A</v>
      </c>
      <c r="V4" s="88" t="str">
        <f t="shared" si="6"/>
        <v>#N/A</v>
      </c>
      <c r="W4" s="88" t="str">
        <f t="shared" si="7"/>
        <v>#N/A</v>
      </c>
      <c r="X4" s="8" t="str">
        <f t="shared" si="8"/>
        <v>#N/A</v>
      </c>
      <c r="Y4" s="88" t="str">
        <f t="shared" si="9"/>
        <v>#N/A</v>
      </c>
    </row>
    <row r="5" ht="22.5" customHeight="1">
      <c r="K5" s="8" t="s">
        <v>593</v>
      </c>
      <c r="L5" s="8">
        <v>2100.0</v>
      </c>
      <c r="O5" s="230">
        <v>0.3</v>
      </c>
      <c r="P5" s="230">
        <f t="shared" si="1"/>
        <v>2580</v>
      </c>
      <c r="Q5" s="231" t="str">
        <f t="shared" si="2"/>
        <v>#N/A</v>
      </c>
      <c r="R5" s="231" t="str">
        <f t="shared" si="3"/>
        <v>#N/A</v>
      </c>
      <c r="S5" s="231" t="str">
        <f t="shared" si="4"/>
        <v>#N/A</v>
      </c>
      <c r="T5" s="231" t="str">
        <f t="shared" si="5"/>
        <v>#N/A</v>
      </c>
      <c r="V5" s="88" t="str">
        <f t="shared" si="6"/>
        <v>#N/A</v>
      </c>
      <c r="W5" s="88" t="str">
        <f t="shared" si="7"/>
        <v>#N/A</v>
      </c>
      <c r="X5" s="8" t="str">
        <f t="shared" si="8"/>
        <v>#N/A</v>
      </c>
      <c r="Y5" s="88" t="str">
        <f t="shared" si="9"/>
        <v>#N/A</v>
      </c>
    </row>
    <row r="6" ht="22.5" customHeight="1">
      <c r="O6" s="230">
        <v>0.4</v>
      </c>
      <c r="P6" s="230">
        <f t="shared" si="1"/>
        <v>2740</v>
      </c>
      <c r="Q6" s="231" t="str">
        <f t="shared" si="2"/>
        <v>#N/A</v>
      </c>
      <c r="R6" s="231" t="str">
        <f t="shared" si="3"/>
        <v>#N/A</v>
      </c>
      <c r="S6" s="231" t="str">
        <f t="shared" si="4"/>
        <v>#N/A</v>
      </c>
      <c r="T6" s="231" t="str">
        <f t="shared" si="5"/>
        <v>#N/A</v>
      </c>
      <c r="V6" s="88" t="str">
        <f t="shared" si="6"/>
        <v>#N/A</v>
      </c>
      <c r="W6" s="88" t="str">
        <f t="shared" si="7"/>
        <v>#N/A</v>
      </c>
      <c r="X6" s="8" t="str">
        <f t="shared" si="8"/>
        <v>#N/A</v>
      </c>
      <c r="Y6" s="88" t="str">
        <f t="shared" si="9"/>
        <v>#N/A</v>
      </c>
    </row>
    <row r="7" ht="22.5" customHeight="1">
      <c r="K7" s="8" t="s">
        <v>594</v>
      </c>
      <c r="L7" s="8">
        <v>850.0</v>
      </c>
      <c r="O7" s="230">
        <v>0.5</v>
      </c>
      <c r="P7" s="230">
        <f t="shared" si="1"/>
        <v>2900</v>
      </c>
      <c r="Q7" s="231" t="str">
        <f t="shared" si="2"/>
        <v>#N/A</v>
      </c>
      <c r="R7" s="231" t="str">
        <f t="shared" si="3"/>
        <v>#N/A</v>
      </c>
      <c r="S7" s="231" t="str">
        <f t="shared" si="4"/>
        <v>#N/A</v>
      </c>
      <c r="T7" s="231" t="str">
        <f t="shared" si="5"/>
        <v>#N/A</v>
      </c>
      <c r="V7" s="88" t="str">
        <f t="shared" si="6"/>
        <v>#N/A</v>
      </c>
      <c r="W7" s="88" t="str">
        <f t="shared" si="7"/>
        <v>#N/A</v>
      </c>
      <c r="X7" s="8" t="str">
        <f t="shared" si="8"/>
        <v>#N/A</v>
      </c>
      <c r="Y7" s="88" t="str">
        <f t="shared" si="9"/>
        <v>#N/A</v>
      </c>
    </row>
    <row r="8" ht="22.5" customHeight="1">
      <c r="K8" s="8" t="s">
        <v>595</v>
      </c>
      <c r="L8" s="8">
        <v>1328.0</v>
      </c>
      <c r="M8" s="8">
        <v>2551.0</v>
      </c>
      <c r="O8" s="230">
        <v>0.6</v>
      </c>
      <c r="P8" s="230">
        <f t="shared" si="1"/>
        <v>3060</v>
      </c>
      <c r="Q8" s="231" t="str">
        <f t="shared" si="2"/>
        <v>#N/A</v>
      </c>
      <c r="R8" s="231" t="str">
        <f t="shared" si="3"/>
        <v>#N/A</v>
      </c>
      <c r="S8" s="231" t="str">
        <f t="shared" si="4"/>
        <v>#N/A</v>
      </c>
      <c r="T8" s="231" t="str">
        <f t="shared" si="5"/>
        <v>#N/A</v>
      </c>
      <c r="V8" s="88" t="str">
        <f t="shared" si="6"/>
        <v>#N/A</v>
      </c>
      <c r="W8" s="88" t="str">
        <f t="shared" si="7"/>
        <v>#N/A</v>
      </c>
      <c r="X8" s="8" t="str">
        <f t="shared" si="8"/>
        <v>#N/A</v>
      </c>
      <c r="Y8" s="88" t="str">
        <f t="shared" si="9"/>
        <v>#N/A</v>
      </c>
    </row>
    <row r="9" ht="22.5" customHeight="1">
      <c r="O9" s="230">
        <v>0.7</v>
      </c>
      <c r="P9" s="230">
        <f t="shared" si="1"/>
        <v>3220</v>
      </c>
      <c r="Q9" s="231" t="str">
        <f t="shared" si="2"/>
        <v>#N/A</v>
      </c>
      <c r="R9" s="231" t="str">
        <f t="shared" si="3"/>
        <v>#N/A</v>
      </c>
      <c r="S9" s="231" t="str">
        <f t="shared" si="4"/>
        <v>#N/A</v>
      </c>
      <c r="T9" s="231" t="str">
        <f t="shared" si="5"/>
        <v>#N/A</v>
      </c>
      <c r="V9" s="88" t="str">
        <f t="shared" si="6"/>
        <v>#N/A</v>
      </c>
      <c r="W9" s="88" t="str">
        <f t="shared" si="7"/>
        <v>#N/A</v>
      </c>
      <c r="X9" s="8" t="str">
        <f t="shared" si="8"/>
        <v>#N/A</v>
      </c>
      <c r="Y9" s="88" t="str">
        <f t="shared" si="9"/>
        <v>#N/A</v>
      </c>
    </row>
    <row r="10" ht="22.5" customHeight="1">
      <c r="K10" s="8" t="s">
        <v>596</v>
      </c>
      <c r="L10" s="88">
        <f t="shared" ref="L10:L11" si="10">L7*0.8</f>
        <v>680</v>
      </c>
      <c r="O10" s="230">
        <v>0.8</v>
      </c>
      <c r="P10" s="230">
        <f t="shared" si="1"/>
        <v>3380</v>
      </c>
      <c r="Q10" s="231" t="str">
        <f t="shared" si="2"/>
        <v>#N/A</v>
      </c>
      <c r="R10" s="231" t="str">
        <f t="shared" si="3"/>
        <v>#N/A</v>
      </c>
      <c r="S10" s="231" t="str">
        <f t="shared" si="4"/>
        <v>#N/A</v>
      </c>
      <c r="T10" s="231" t="str">
        <f t="shared" si="5"/>
        <v>#N/A</v>
      </c>
      <c r="V10" s="88" t="str">
        <f t="shared" si="6"/>
        <v>#N/A</v>
      </c>
      <c r="W10" s="88" t="str">
        <f t="shared" si="7"/>
        <v>#N/A</v>
      </c>
      <c r="X10" s="8" t="str">
        <f t="shared" si="8"/>
        <v>#N/A</v>
      </c>
      <c r="Y10" s="88" t="str">
        <f t="shared" si="9"/>
        <v>#N/A</v>
      </c>
    </row>
    <row r="11" ht="22.5" customHeight="1">
      <c r="K11" s="8" t="s">
        <v>597</v>
      </c>
      <c r="L11" s="88">
        <f t="shared" si="10"/>
        <v>1062.4</v>
      </c>
      <c r="M11" s="88">
        <f>M8*0.8</f>
        <v>2040.8</v>
      </c>
      <c r="O11" s="230">
        <v>0.9</v>
      </c>
      <c r="P11" s="230">
        <f t="shared" si="1"/>
        <v>3540</v>
      </c>
      <c r="Q11" s="231" t="str">
        <f t="shared" si="2"/>
        <v>#N/A</v>
      </c>
      <c r="R11" s="231" t="str">
        <f t="shared" si="3"/>
        <v>#N/A</v>
      </c>
      <c r="S11" s="231" t="str">
        <f t="shared" si="4"/>
        <v>#N/A</v>
      </c>
      <c r="T11" s="231" t="str">
        <f t="shared" si="5"/>
        <v>#N/A</v>
      </c>
      <c r="V11" s="88" t="str">
        <f t="shared" si="6"/>
        <v>#N/A</v>
      </c>
      <c r="W11" s="88" t="str">
        <f t="shared" si="7"/>
        <v>#N/A</v>
      </c>
      <c r="X11" s="8" t="str">
        <f t="shared" si="8"/>
        <v>#N/A</v>
      </c>
      <c r="Y11" s="88" t="str">
        <f t="shared" si="9"/>
        <v>#N/A</v>
      </c>
    </row>
    <row r="12" ht="22.5" customHeight="1">
      <c r="O12" s="230">
        <v>1.0</v>
      </c>
      <c r="P12" s="230">
        <f t="shared" si="1"/>
        <v>3700</v>
      </c>
      <c r="Q12" s="231" t="str">
        <f t="shared" si="2"/>
        <v>#N/A</v>
      </c>
      <c r="R12" s="231" t="str">
        <f t="shared" si="3"/>
        <v>#N/A</v>
      </c>
      <c r="S12" s="231" t="str">
        <f t="shared" si="4"/>
        <v>#N/A</v>
      </c>
      <c r="T12" s="231" t="str">
        <f t="shared" si="5"/>
        <v>#N/A</v>
      </c>
      <c r="V12" s="88" t="str">
        <f t="shared" si="6"/>
        <v>#N/A</v>
      </c>
      <c r="W12" s="88" t="str">
        <f t="shared" si="7"/>
        <v>#N/A</v>
      </c>
      <c r="X12" s="8" t="str">
        <f t="shared" si="8"/>
        <v>#N/A</v>
      </c>
      <c r="Y12" s="88" t="str">
        <f t="shared" si="9"/>
        <v>#N/A</v>
      </c>
    </row>
    <row r="13" ht="22.5" customHeight="1">
      <c r="O13" s="230">
        <v>1.1</v>
      </c>
      <c r="P13" s="230">
        <f t="shared" si="1"/>
        <v>3860</v>
      </c>
      <c r="Q13" s="231" t="str">
        <f t="shared" si="2"/>
        <v>#N/A</v>
      </c>
      <c r="R13" s="231" t="str">
        <f t="shared" si="3"/>
        <v>#N/A</v>
      </c>
      <c r="S13" s="231" t="str">
        <f t="shared" si="4"/>
        <v>#N/A</v>
      </c>
      <c r="T13" s="231" t="str">
        <f t="shared" si="5"/>
        <v>#N/A</v>
      </c>
      <c r="V13" s="88" t="str">
        <f t="shared" si="6"/>
        <v>#N/A</v>
      </c>
      <c r="W13" s="88" t="str">
        <f t="shared" si="7"/>
        <v>#N/A</v>
      </c>
      <c r="X13" s="8" t="str">
        <f t="shared" si="8"/>
        <v>#N/A</v>
      </c>
      <c r="Y13" s="88" t="str">
        <f t="shared" si="9"/>
        <v>#N/A</v>
      </c>
    </row>
    <row r="14" ht="22.5" customHeight="1">
      <c r="O14" s="230">
        <v>1.2</v>
      </c>
      <c r="P14" s="230">
        <f t="shared" si="1"/>
        <v>4020</v>
      </c>
      <c r="Q14" s="231" t="str">
        <f t="shared" si="2"/>
        <v>#N/A</v>
      </c>
      <c r="R14" s="231" t="str">
        <f t="shared" si="3"/>
        <v>#N/A</v>
      </c>
      <c r="S14" s="231" t="str">
        <f t="shared" si="4"/>
        <v>#N/A</v>
      </c>
      <c r="T14" s="231" t="str">
        <f t="shared" si="5"/>
        <v>#N/A</v>
      </c>
      <c r="V14" s="88" t="str">
        <f t="shared" si="6"/>
        <v>#N/A</v>
      </c>
      <c r="W14" s="88" t="str">
        <f t="shared" si="7"/>
        <v>#N/A</v>
      </c>
      <c r="X14" s="8" t="str">
        <f t="shared" si="8"/>
        <v>#N/A</v>
      </c>
      <c r="Y14" s="88" t="str">
        <f t="shared" si="9"/>
        <v>#N/A</v>
      </c>
    </row>
    <row r="15" ht="22.5" customHeight="1">
      <c r="O15" s="230">
        <v>1.3</v>
      </c>
      <c r="P15" s="230">
        <f t="shared" si="1"/>
        <v>4180</v>
      </c>
      <c r="Q15" s="231" t="str">
        <f t="shared" si="2"/>
        <v>#N/A</v>
      </c>
      <c r="R15" s="231" t="str">
        <f t="shared" si="3"/>
        <v>#N/A</v>
      </c>
      <c r="S15" s="231" t="str">
        <f t="shared" si="4"/>
        <v>#N/A</v>
      </c>
      <c r="T15" s="231" t="str">
        <f t="shared" si="5"/>
        <v>#N/A</v>
      </c>
      <c r="V15" s="88" t="str">
        <f t="shared" si="6"/>
        <v>#N/A</v>
      </c>
      <c r="W15" s="88" t="str">
        <f t="shared" si="7"/>
        <v>#N/A</v>
      </c>
      <c r="X15" s="8" t="str">
        <f t="shared" si="8"/>
        <v>#N/A</v>
      </c>
      <c r="Y15" s="88" t="str">
        <f t="shared" si="9"/>
        <v>#N/A</v>
      </c>
    </row>
    <row r="16" ht="22.5" customHeight="1">
      <c r="O16" s="230">
        <v>1.4</v>
      </c>
      <c r="P16" s="230">
        <f t="shared" si="1"/>
        <v>4340</v>
      </c>
      <c r="Q16" s="231" t="str">
        <f t="shared" si="2"/>
        <v>#N/A</v>
      </c>
      <c r="R16" s="231" t="str">
        <f t="shared" si="3"/>
        <v>#N/A</v>
      </c>
      <c r="S16" s="231" t="str">
        <f t="shared" si="4"/>
        <v>#N/A</v>
      </c>
      <c r="T16" s="231" t="str">
        <f t="shared" si="5"/>
        <v>#N/A</v>
      </c>
      <c r="V16" s="88" t="str">
        <f t="shared" si="6"/>
        <v>#N/A</v>
      </c>
      <c r="W16" s="88" t="str">
        <f t="shared" si="7"/>
        <v>#N/A</v>
      </c>
      <c r="X16" s="8" t="str">
        <f t="shared" si="8"/>
        <v>#N/A</v>
      </c>
      <c r="Y16" s="88" t="str">
        <f t="shared" si="9"/>
        <v>#N/A</v>
      </c>
    </row>
    <row r="17" ht="22.5" customHeight="1">
      <c r="O17" s="230">
        <v>1.5</v>
      </c>
      <c r="P17" s="230">
        <f t="shared" si="1"/>
        <v>4500</v>
      </c>
      <c r="Q17" s="231">
        <f t="shared" si="2"/>
        <v>1328</v>
      </c>
      <c r="R17" s="231">
        <f t="shared" si="3"/>
        <v>2551</v>
      </c>
      <c r="S17" s="231">
        <f t="shared" si="4"/>
        <v>1062.4</v>
      </c>
      <c r="T17" s="231">
        <f t="shared" si="5"/>
        <v>2040.8</v>
      </c>
      <c r="V17" s="232">
        <f t="shared" si="6"/>
        <v>3172</v>
      </c>
      <c r="W17" s="232">
        <f t="shared" si="7"/>
        <v>3437.6</v>
      </c>
      <c r="X17" s="233">
        <f t="shared" si="8"/>
        <v>1949</v>
      </c>
      <c r="Y17" s="232">
        <f t="shared" si="9"/>
        <v>2459.2</v>
      </c>
    </row>
    <row r="18" ht="22.5" customHeight="1">
      <c r="O18" s="230">
        <v>1.6</v>
      </c>
      <c r="P18" s="230">
        <f t="shared" si="1"/>
        <v>4660</v>
      </c>
      <c r="Q18" s="231">
        <f t="shared" si="2"/>
        <v>1413</v>
      </c>
      <c r="R18" s="231">
        <f t="shared" si="3"/>
        <v>2636</v>
      </c>
      <c r="S18" s="231">
        <f t="shared" si="4"/>
        <v>1130.4</v>
      </c>
      <c r="T18" s="231">
        <f t="shared" si="5"/>
        <v>2108.8</v>
      </c>
      <c r="V18" s="232">
        <f t="shared" si="6"/>
        <v>3247</v>
      </c>
      <c r="W18" s="232">
        <f t="shared" si="7"/>
        <v>3529.6</v>
      </c>
      <c r="X18" s="233">
        <f t="shared" si="8"/>
        <v>2024</v>
      </c>
      <c r="Y18" s="232">
        <f t="shared" si="9"/>
        <v>2551.2</v>
      </c>
    </row>
    <row r="19" ht="22.5" customHeight="1">
      <c r="O19" s="230">
        <v>1.7</v>
      </c>
      <c r="P19" s="230">
        <f t="shared" si="1"/>
        <v>4820</v>
      </c>
      <c r="Q19" s="231">
        <f t="shared" si="2"/>
        <v>1498</v>
      </c>
      <c r="R19" s="231">
        <f t="shared" si="3"/>
        <v>2721</v>
      </c>
      <c r="S19" s="231">
        <f t="shared" si="4"/>
        <v>1198.4</v>
      </c>
      <c r="T19" s="231">
        <f t="shared" si="5"/>
        <v>2176.8</v>
      </c>
      <c r="V19" s="232">
        <f t="shared" si="6"/>
        <v>3322</v>
      </c>
      <c r="W19" s="232">
        <f t="shared" si="7"/>
        <v>3621.6</v>
      </c>
      <c r="X19" s="233">
        <f t="shared" si="8"/>
        <v>2099</v>
      </c>
      <c r="Y19" s="232">
        <f t="shared" si="9"/>
        <v>2643.2</v>
      </c>
    </row>
    <row r="20" ht="22.5" customHeight="1">
      <c r="O20" s="230">
        <v>1.8</v>
      </c>
      <c r="P20" s="230">
        <f t="shared" si="1"/>
        <v>4980</v>
      </c>
      <c r="Q20" s="231">
        <f t="shared" si="2"/>
        <v>1583</v>
      </c>
      <c r="R20" s="231">
        <f t="shared" si="3"/>
        <v>2806</v>
      </c>
      <c r="S20" s="231">
        <f t="shared" si="4"/>
        <v>1266.4</v>
      </c>
      <c r="T20" s="231">
        <f t="shared" si="5"/>
        <v>2244.8</v>
      </c>
      <c r="V20" s="232">
        <f t="shared" si="6"/>
        <v>3397</v>
      </c>
      <c r="W20" s="232">
        <f t="shared" si="7"/>
        <v>3713.6</v>
      </c>
      <c r="X20" s="233">
        <f t="shared" si="8"/>
        <v>2174</v>
      </c>
      <c r="Y20" s="232">
        <f t="shared" si="9"/>
        <v>2735.2</v>
      </c>
    </row>
    <row r="21" ht="22.5" customHeight="1">
      <c r="O21" s="230">
        <v>1.9</v>
      </c>
      <c r="P21" s="230">
        <f t="shared" si="1"/>
        <v>5140</v>
      </c>
      <c r="Q21" s="231">
        <f t="shared" si="2"/>
        <v>1668</v>
      </c>
      <c r="R21" s="231">
        <f t="shared" si="3"/>
        <v>2891</v>
      </c>
      <c r="S21" s="231">
        <f t="shared" si="4"/>
        <v>1334.4</v>
      </c>
      <c r="T21" s="231">
        <f t="shared" si="5"/>
        <v>2312.8</v>
      </c>
      <c r="V21" s="232">
        <f t="shared" si="6"/>
        <v>3472</v>
      </c>
      <c r="W21" s="232">
        <f t="shared" si="7"/>
        <v>3805.6</v>
      </c>
      <c r="X21" s="233">
        <f t="shared" si="8"/>
        <v>2249</v>
      </c>
      <c r="Y21" s="232">
        <f t="shared" si="9"/>
        <v>2827.2</v>
      </c>
    </row>
    <row r="22" ht="22.5" customHeight="1">
      <c r="O22" s="230">
        <v>2.0</v>
      </c>
      <c r="P22" s="230">
        <f t="shared" si="1"/>
        <v>5300</v>
      </c>
      <c r="Q22" s="231">
        <f t="shared" si="2"/>
        <v>1753</v>
      </c>
      <c r="R22" s="231">
        <f t="shared" si="3"/>
        <v>2976</v>
      </c>
      <c r="S22" s="231">
        <f t="shared" si="4"/>
        <v>1402.4</v>
      </c>
      <c r="T22" s="231">
        <f t="shared" si="5"/>
        <v>2380.8</v>
      </c>
      <c r="V22" s="232">
        <f t="shared" si="6"/>
        <v>3547</v>
      </c>
      <c r="W22" s="232">
        <f t="shared" si="7"/>
        <v>3897.6</v>
      </c>
      <c r="X22" s="233">
        <f t="shared" si="8"/>
        <v>2324</v>
      </c>
      <c r="Y22" s="232">
        <f t="shared" si="9"/>
        <v>2919.2</v>
      </c>
    </row>
    <row r="23" ht="22.5" customHeight="1">
      <c r="O23" s="230">
        <v>2.1</v>
      </c>
      <c r="P23" s="230">
        <f t="shared" si="1"/>
        <v>5460</v>
      </c>
      <c r="Q23" s="231">
        <f t="shared" si="2"/>
        <v>1838</v>
      </c>
      <c r="R23" s="231">
        <f t="shared" si="3"/>
        <v>3061</v>
      </c>
      <c r="S23" s="231">
        <f t="shared" si="4"/>
        <v>1470.4</v>
      </c>
      <c r="T23" s="231">
        <f t="shared" si="5"/>
        <v>2448.8</v>
      </c>
      <c r="V23" s="232">
        <f t="shared" si="6"/>
        <v>3622</v>
      </c>
      <c r="W23" s="232">
        <f t="shared" si="7"/>
        <v>3989.6</v>
      </c>
      <c r="X23" s="233">
        <f t="shared" si="8"/>
        <v>2399</v>
      </c>
      <c r="Y23" s="232">
        <f t="shared" si="9"/>
        <v>3011.2</v>
      </c>
    </row>
    <row r="24" ht="22.5" customHeight="1">
      <c r="O24" s="230">
        <v>2.2</v>
      </c>
      <c r="P24" s="230">
        <f t="shared" si="1"/>
        <v>5620</v>
      </c>
      <c r="Q24" s="231">
        <f t="shared" si="2"/>
        <v>1923</v>
      </c>
      <c r="R24" s="231">
        <f t="shared" si="3"/>
        <v>3146</v>
      </c>
      <c r="S24" s="231">
        <f t="shared" si="4"/>
        <v>1538.4</v>
      </c>
      <c r="T24" s="231">
        <f t="shared" si="5"/>
        <v>2516.8</v>
      </c>
      <c r="V24" s="232">
        <f t="shared" si="6"/>
        <v>3697</v>
      </c>
      <c r="W24" s="232">
        <f t="shared" si="7"/>
        <v>4081.6</v>
      </c>
      <c r="X24" s="233">
        <f t="shared" si="8"/>
        <v>2474</v>
      </c>
      <c r="Y24" s="232">
        <f t="shared" si="9"/>
        <v>3103.2</v>
      </c>
    </row>
    <row r="25" ht="22.5" customHeight="1">
      <c r="O25" s="230">
        <v>2.3</v>
      </c>
      <c r="P25" s="230">
        <f t="shared" si="1"/>
        <v>5780</v>
      </c>
      <c r="Q25" s="231">
        <f t="shared" si="2"/>
        <v>2008</v>
      </c>
      <c r="R25" s="231">
        <f t="shared" si="3"/>
        <v>3231</v>
      </c>
      <c r="S25" s="231">
        <f t="shared" si="4"/>
        <v>1606.4</v>
      </c>
      <c r="T25" s="231">
        <f t="shared" si="5"/>
        <v>2584.8</v>
      </c>
      <c r="V25" s="232">
        <f t="shared" si="6"/>
        <v>3772</v>
      </c>
      <c r="W25" s="232">
        <f t="shared" si="7"/>
        <v>4173.6</v>
      </c>
      <c r="X25" s="233">
        <f t="shared" si="8"/>
        <v>2549</v>
      </c>
      <c r="Y25" s="232">
        <f t="shared" si="9"/>
        <v>3195.2</v>
      </c>
    </row>
    <row r="26" ht="22.5" customHeight="1">
      <c r="O26" s="230">
        <v>2.4</v>
      </c>
      <c r="P26" s="230">
        <f t="shared" si="1"/>
        <v>5940</v>
      </c>
      <c r="Q26" s="231">
        <f t="shared" si="2"/>
        <v>2093</v>
      </c>
      <c r="R26" s="231">
        <f t="shared" si="3"/>
        <v>3316</v>
      </c>
      <c r="S26" s="231">
        <f t="shared" si="4"/>
        <v>1674.4</v>
      </c>
      <c r="T26" s="231">
        <f t="shared" si="5"/>
        <v>2652.8</v>
      </c>
      <c r="V26" s="232">
        <f t="shared" si="6"/>
        <v>3847</v>
      </c>
      <c r="W26" s="232">
        <f t="shared" si="7"/>
        <v>4265.6</v>
      </c>
      <c r="X26" s="233">
        <f t="shared" si="8"/>
        <v>2624</v>
      </c>
      <c r="Y26" s="232">
        <f t="shared" si="9"/>
        <v>3287.2</v>
      </c>
    </row>
    <row r="27" ht="22.5" customHeight="1">
      <c r="O27" s="230">
        <v>2.5</v>
      </c>
      <c r="P27" s="230">
        <f t="shared" si="1"/>
        <v>6100</v>
      </c>
      <c r="Q27" s="231">
        <f t="shared" si="2"/>
        <v>2178</v>
      </c>
      <c r="R27" s="231">
        <f t="shared" si="3"/>
        <v>3401</v>
      </c>
      <c r="S27" s="231">
        <f t="shared" si="4"/>
        <v>1742.4</v>
      </c>
      <c r="T27" s="231">
        <f t="shared" si="5"/>
        <v>2720.8</v>
      </c>
      <c r="V27" s="232">
        <f t="shared" si="6"/>
        <v>3922</v>
      </c>
      <c r="W27" s="232">
        <f t="shared" si="7"/>
        <v>4357.6</v>
      </c>
      <c r="X27" s="233">
        <f t="shared" si="8"/>
        <v>2699</v>
      </c>
      <c r="Y27" s="232">
        <f t="shared" si="9"/>
        <v>3379.2</v>
      </c>
    </row>
    <row r="28" ht="22.5" customHeight="1">
      <c r="O28" s="230">
        <v>2.6</v>
      </c>
      <c r="P28" s="230">
        <f t="shared" si="1"/>
        <v>6260</v>
      </c>
      <c r="Q28" s="231">
        <f t="shared" si="2"/>
        <v>2263</v>
      </c>
      <c r="R28" s="231">
        <f t="shared" si="3"/>
        <v>3486</v>
      </c>
      <c r="S28" s="231">
        <f t="shared" si="4"/>
        <v>1810.4</v>
      </c>
      <c r="T28" s="231">
        <f t="shared" si="5"/>
        <v>2788.8</v>
      </c>
      <c r="V28" s="232">
        <f t="shared" si="6"/>
        <v>3997</v>
      </c>
      <c r="W28" s="232">
        <f t="shared" si="7"/>
        <v>4449.6</v>
      </c>
      <c r="X28" s="233">
        <f t="shared" si="8"/>
        <v>2774</v>
      </c>
      <c r="Y28" s="232">
        <f t="shared" si="9"/>
        <v>3471.2</v>
      </c>
    </row>
    <row r="29" ht="22.5" customHeight="1">
      <c r="O29" s="230">
        <v>2.7</v>
      </c>
      <c r="P29" s="230">
        <f t="shared" si="1"/>
        <v>6420</v>
      </c>
      <c r="Q29" s="231">
        <f t="shared" si="2"/>
        <v>2348</v>
      </c>
      <c r="R29" s="231">
        <f t="shared" si="3"/>
        <v>3571</v>
      </c>
      <c r="S29" s="231">
        <f t="shared" si="4"/>
        <v>1878.4</v>
      </c>
      <c r="T29" s="231">
        <f t="shared" si="5"/>
        <v>2856.8</v>
      </c>
      <c r="V29" s="232">
        <f t="shared" si="6"/>
        <v>4072</v>
      </c>
      <c r="W29" s="232">
        <f t="shared" si="7"/>
        <v>4541.6</v>
      </c>
      <c r="X29" s="233">
        <f t="shared" si="8"/>
        <v>2849</v>
      </c>
      <c r="Y29" s="232">
        <f t="shared" si="9"/>
        <v>3563.2</v>
      </c>
    </row>
    <row r="30" ht="22.5" customHeight="1">
      <c r="O30" s="230">
        <v>2.8</v>
      </c>
      <c r="P30" s="230">
        <f t="shared" si="1"/>
        <v>6580</v>
      </c>
      <c r="Q30" s="231">
        <f t="shared" si="2"/>
        <v>2433</v>
      </c>
      <c r="R30" s="231">
        <f t="shared" si="3"/>
        <v>3656</v>
      </c>
      <c r="S30" s="231">
        <f t="shared" si="4"/>
        <v>1946.4</v>
      </c>
      <c r="T30" s="231">
        <f t="shared" si="5"/>
        <v>2924.8</v>
      </c>
      <c r="V30" s="232">
        <f t="shared" si="6"/>
        <v>4147</v>
      </c>
      <c r="W30" s="232">
        <f t="shared" si="7"/>
        <v>4633.6</v>
      </c>
      <c r="X30" s="233">
        <f t="shared" si="8"/>
        <v>2924</v>
      </c>
      <c r="Y30" s="232">
        <f t="shared" si="9"/>
        <v>3655.2</v>
      </c>
    </row>
    <row r="31" ht="22.5" customHeight="1">
      <c r="O31" s="230">
        <v>2.9</v>
      </c>
      <c r="P31" s="230">
        <f t="shared" si="1"/>
        <v>6740</v>
      </c>
      <c r="Q31" s="231">
        <f t="shared" si="2"/>
        <v>2518</v>
      </c>
      <c r="R31" s="231">
        <f t="shared" si="3"/>
        <v>3741</v>
      </c>
      <c r="S31" s="231">
        <f t="shared" si="4"/>
        <v>2014.4</v>
      </c>
      <c r="T31" s="231">
        <f t="shared" si="5"/>
        <v>2992.8</v>
      </c>
      <c r="V31" s="232">
        <f t="shared" si="6"/>
        <v>4222</v>
      </c>
      <c r="W31" s="232">
        <f t="shared" si="7"/>
        <v>4725.6</v>
      </c>
      <c r="X31" s="233">
        <f t="shared" si="8"/>
        <v>2999</v>
      </c>
      <c r="Y31" s="232">
        <f t="shared" si="9"/>
        <v>3747.2</v>
      </c>
    </row>
    <row r="32" ht="22.5" customHeight="1">
      <c r="O32" s="230">
        <v>3.0</v>
      </c>
      <c r="P32" s="230">
        <f t="shared" si="1"/>
        <v>6900</v>
      </c>
      <c r="Q32" s="231">
        <f t="shared" si="2"/>
        <v>2603</v>
      </c>
      <c r="R32" s="231">
        <f t="shared" si="3"/>
        <v>3826</v>
      </c>
      <c r="S32" s="231">
        <f t="shared" si="4"/>
        <v>2082.4</v>
      </c>
      <c r="T32" s="231">
        <f t="shared" si="5"/>
        <v>3060.8</v>
      </c>
      <c r="V32" s="232">
        <f t="shared" si="6"/>
        <v>4297</v>
      </c>
      <c r="W32" s="232">
        <f t="shared" si="7"/>
        <v>4817.6</v>
      </c>
      <c r="X32" s="233">
        <f t="shared" si="8"/>
        <v>3074</v>
      </c>
      <c r="Y32" s="232">
        <f t="shared" si="9"/>
        <v>3839.2</v>
      </c>
    </row>
    <row r="33" ht="22.5" customHeight="1">
      <c r="O33" s="230">
        <v>3.1</v>
      </c>
      <c r="P33" s="230">
        <f t="shared" si="1"/>
        <v>7060</v>
      </c>
      <c r="Q33" s="231">
        <f t="shared" si="2"/>
        <v>2688</v>
      </c>
      <c r="R33" s="231">
        <f t="shared" si="3"/>
        <v>3911</v>
      </c>
      <c r="S33" s="231">
        <f t="shared" si="4"/>
        <v>2150.4</v>
      </c>
      <c r="T33" s="231">
        <f t="shared" si="5"/>
        <v>3128.8</v>
      </c>
      <c r="V33" s="232">
        <f t="shared" si="6"/>
        <v>4372</v>
      </c>
      <c r="W33" s="232">
        <f t="shared" si="7"/>
        <v>4909.6</v>
      </c>
      <c r="X33" s="233">
        <f t="shared" si="8"/>
        <v>3149</v>
      </c>
      <c r="Y33" s="232">
        <f t="shared" si="9"/>
        <v>3931.2</v>
      </c>
    </row>
    <row r="34" ht="22.5" customHeight="1">
      <c r="O34" s="230">
        <v>3.2</v>
      </c>
      <c r="P34" s="230">
        <f t="shared" si="1"/>
        <v>7220</v>
      </c>
      <c r="Q34" s="231">
        <f t="shared" si="2"/>
        <v>2773</v>
      </c>
      <c r="R34" s="231">
        <f t="shared" si="3"/>
        <v>3996</v>
      </c>
      <c r="S34" s="231">
        <f t="shared" si="4"/>
        <v>2218.4</v>
      </c>
      <c r="T34" s="231">
        <f t="shared" si="5"/>
        <v>3196.8</v>
      </c>
      <c r="V34" s="232">
        <f t="shared" si="6"/>
        <v>4447</v>
      </c>
      <c r="W34" s="232">
        <f t="shared" si="7"/>
        <v>5001.6</v>
      </c>
      <c r="X34" s="233">
        <f t="shared" si="8"/>
        <v>3224</v>
      </c>
      <c r="Y34" s="232">
        <f t="shared" si="9"/>
        <v>4023.2</v>
      </c>
    </row>
    <row r="35" ht="22.5" customHeight="1">
      <c r="O35" s="230">
        <v>3.3</v>
      </c>
      <c r="P35" s="230">
        <f t="shared" si="1"/>
        <v>7380</v>
      </c>
      <c r="Q35" s="231">
        <f t="shared" si="2"/>
        <v>2858</v>
      </c>
      <c r="R35" s="231">
        <f t="shared" si="3"/>
        <v>4081</v>
      </c>
      <c r="S35" s="231">
        <f t="shared" si="4"/>
        <v>2286.4</v>
      </c>
      <c r="T35" s="231">
        <f t="shared" si="5"/>
        <v>3264.8</v>
      </c>
      <c r="V35" s="232">
        <f t="shared" si="6"/>
        <v>4522</v>
      </c>
      <c r="W35" s="232">
        <f t="shared" si="7"/>
        <v>5093.6</v>
      </c>
      <c r="X35" s="233">
        <f t="shared" si="8"/>
        <v>3299</v>
      </c>
      <c r="Y35" s="232">
        <f t="shared" si="9"/>
        <v>4115.2</v>
      </c>
    </row>
    <row r="36" ht="22.5" customHeight="1">
      <c r="O36" s="230">
        <v>3.4</v>
      </c>
      <c r="P36" s="230">
        <f t="shared" si="1"/>
        <v>7540</v>
      </c>
      <c r="Q36" s="231">
        <f t="shared" si="2"/>
        <v>2943</v>
      </c>
      <c r="R36" s="231">
        <f t="shared" si="3"/>
        <v>4166</v>
      </c>
      <c r="S36" s="231">
        <f t="shared" si="4"/>
        <v>2354.4</v>
      </c>
      <c r="T36" s="231">
        <f t="shared" si="5"/>
        <v>3332.8</v>
      </c>
      <c r="V36" s="232">
        <f t="shared" si="6"/>
        <v>4597</v>
      </c>
      <c r="W36" s="232">
        <f t="shared" si="7"/>
        <v>5185.6</v>
      </c>
      <c r="X36" s="233">
        <f t="shared" si="8"/>
        <v>3374</v>
      </c>
      <c r="Y36" s="232">
        <f t="shared" si="9"/>
        <v>4207.2</v>
      </c>
    </row>
    <row r="37" ht="22.5" customHeight="1">
      <c r="O37" s="230">
        <v>3.5</v>
      </c>
      <c r="P37" s="230">
        <f t="shared" si="1"/>
        <v>7700</v>
      </c>
      <c r="Q37" s="231">
        <f t="shared" si="2"/>
        <v>3028</v>
      </c>
      <c r="R37" s="231">
        <f t="shared" si="3"/>
        <v>4251</v>
      </c>
      <c r="S37" s="231">
        <f t="shared" si="4"/>
        <v>2422.4</v>
      </c>
      <c r="T37" s="231">
        <f t="shared" si="5"/>
        <v>3400.8</v>
      </c>
      <c r="V37" s="232">
        <f t="shared" si="6"/>
        <v>4672</v>
      </c>
      <c r="W37" s="232">
        <f t="shared" si="7"/>
        <v>5277.6</v>
      </c>
      <c r="X37" s="233">
        <f t="shared" si="8"/>
        <v>3449</v>
      </c>
      <c r="Y37" s="232">
        <f t="shared" si="9"/>
        <v>4299.2</v>
      </c>
    </row>
    <row r="38" ht="22.5" customHeight="1">
      <c r="O38" s="230">
        <v>3.6</v>
      </c>
      <c r="P38" s="230">
        <f t="shared" si="1"/>
        <v>7860</v>
      </c>
      <c r="Q38" s="231">
        <f t="shared" si="2"/>
        <v>3113</v>
      </c>
      <c r="R38" s="231">
        <f t="shared" si="3"/>
        <v>4336</v>
      </c>
      <c r="S38" s="231">
        <f t="shared" si="4"/>
        <v>2490.4</v>
      </c>
      <c r="T38" s="231">
        <f t="shared" si="5"/>
        <v>3468.8</v>
      </c>
      <c r="V38" s="232">
        <f t="shared" si="6"/>
        <v>4747</v>
      </c>
      <c r="W38" s="232">
        <f t="shared" si="7"/>
        <v>5369.6</v>
      </c>
      <c r="X38" s="233">
        <f t="shared" si="8"/>
        <v>3524</v>
      </c>
      <c r="Y38" s="232">
        <f t="shared" si="9"/>
        <v>4391.2</v>
      </c>
    </row>
    <row r="39" ht="22.5" customHeight="1">
      <c r="O39" s="230">
        <v>3.7</v>
      </c>
      <c r="P39" s="230">
        <f t="shared" si="1"/>
        <v>8020</v>
      </c>
      <c r="Q39" s="231">
        <f t="shared" si="2"/>
        <v>3198</v>
      </c>
      <c r="R39" s="231">
        <f t="shared" si="3"/>
        <v>4421</v>
      </c>
      <c r="S39" s="231">
        <f t="shared" si="4"/>
        <v>2558.4</v>
      </c>
      <c r="T39" s="231">
        <f t="shared" si="5"/>
        <v>3536.8</v>
      </c>
      <c r="V39" s="232">
        <f t="shared" si="6"/>
        <v>4822</v>
      </c>
      <c r="W39" s="232">
        <f t="shared" si="7"/>
        <v>5461.6</v>
      </c>
      <c r="X39" s="233">
        <f t="shared" si="8"/>
        <v>3599</v>
      </c>
      <c r="Y39" s="232">
        <f t="shared" si="9"/>
        <v>4483.2</v>
      </c>
    </row>
    <row r="40" ht="22.5" customHeight="1">
      <c r="O40" s="230">
        <v>3.8</v>
      </c>
      <c r="P40" s="230">
        <f t="shared" si="1"/>
        <v>8180</v>
      </c>
      <c r="Q40" s="231">
        <f t="shared" si="2"/>
        <v>3283</v>
      </c>
      <c r="R40" s="231">
        <f t="shared" si="3"/>
        <v>4506</v>
      </c>
      <c r="S40" s="231">
        <f t="shared" si="4"/>
        <v>2626.4</v>
      </c>
      <c r="T40" s="231">
        <f t="shared" si="5"/>
        <v>3604.8</v>
      </c>
      <c r="V40" s="232">
        <f t="shared" si="6"/>
        <v>4897</v>
      </c>
      <c r="W40" s="232">
        <f t="shared" si="7"/>
        <v>5553.6</v>
      </c>
      <c r="X40" s="233">
        <f t="shared" si="8"/>
        <v>3674</v>
      </c>
      <c r="Y40" s="232">
        <f t="shared" si="9"/>
        <v>4575.2</v>
      </c>
    </row>
    <row r="41" ht="22.5" customHeight="1">
      <c r="O41" s="230">
        <v>3.9</v>
      </c>
      <c r="P41" s="230">
        <f t="shared" si="1"/>
        <v>8340</v>
      </c>
      <c r="Q41" s="231">
        <f t="shared" si="2"/>
        <v>3368</v>
      </c>
      <c r="R41" s="231">
        <f t="shared" si="3"/>
        <v>4591</v>
      </c>
      <c r="S41" s="231">
        <f t="shared" si="4"/>
        <v>2694.4</v>
      </c>
      <c r="T41" s="231">
        <f t="shared" si="5"/>
        <v>3672.8</v>
      </c>
      <c r="V41" s="232">
        <f t="shared" si="6"/>
        <v>4972</v>
      </c>
      <c r="W41" s="232">
        <f t="shared" si="7"/>
        <v>5645.6</v>
      </c>
      <c r="X41" s="233">
        <f t="shared" si="8"/>
        <v>3749</v>
      </c>
      <c r="Y41" s="232">
        <f t="shared" si="9"/>
        <v>4667.2</v>
      </c>
    </row>
    <row r="42" ht="22.5" customHeight="1">
      <c r="O42" s="230">
        <v>4.0</v>
      </c>
      <c r="P42" s="230">
        <f t="shared" si="1"/>
        <v>8500</v>
      </c>
      <c r="Q42" s="231">
        <f t="shared" si="2"/>
        <v>3453</v>
      </c>
      <c r="R42" s="231">
        <f t="shared" si="3"/>
        <v>4676</v>
      </c>
      <c r="S42" s="231">
        <f t="shared" si="4"/>
        <v>2762.4</v>
      </c>
      <c r="T42" s="231">
        <f t="shared" si="5"/>
        <v>3740.8</v>
      </c>
      <c r="V42" s="232">
        <f t="shared" si="6"/>
        <v>5047</v>
      </c>
      <c r="W42" s="232">
        <f t="shared" si="7"/>
        <v>5737.6</v>
      </c>
      <c r="X42" s="233">
        <f t="shared" si="8"/>
        <v>3824</v>
      </c>
      <c r="Y42" s="232">
        <f t="shared" si="9"/>
        <v>4759.2</v>
      </c>
    </row>
    <row r="43" ht="22.5" customHeight="1">
      <c r="O43" s="230">
        <v>4.1</v>
      </c>
      <c r="P43" s="230">
        <f t="shared" si="1"/>
        <v>8660</v>
      </c>
      <c r="Q43" s="231">
        <f t="shared" si="2"/>
        <v>3538</v>
      </c>
      <c r="R43" s="231">
        <f t="shared" si="3"/>
        <v>4761</v>
      </c>
      <c r="S43" s="231">
        <f t="shared" si="4"/>
        <v>2830.4</v>
      </c>
      <c r="T43" s="231">
        <f t="shared" si="5"/>
        <v>3808.8</v>
      </c>
      <c r="V43" s="232">
        <f t="shared" si="6"/>
        <v>5122</v>
      </c>
      <c r="W43" s="232">
        <f t="shared" si="7"/>
        <v>5829.6</v>
      </c>
      <c r="X43" s="233">
        <f t="shared" si="8"/>
        <v>3899</v>
      </c>
      <c r="Y43" s="232">
        <f t="shared" si="9"/>
        <v>4851.2</v>
      </c>
    </row>
    <row r="44" ht="22.5" customHeight="1">
      <c r="O44" s="230">
        <v>4.2</v>
      </c>
      <c r="P44" s="230">
        <f t="shared" si="1"/>
        <v>8820</v>
      </c>
      <c r="Q44" s="231">
        <f t="shared" si="2"/>
        <v>3623</v>
      </c>
      <c r="R44" s="231">
        <f t="shared" si="3"/>
        <v>4846</v>
      </c>
      <c r="S44" s="231">
        <f t="shared" si="4"/>
        <v>2898.4</v>
      </c>
      <c r="T44" s="231">
        <f t="shared" si="5"/>
        <v>3876.8</v>
      </c>
      <c r="V44" s="232">
        <f t="shared" si="6"/>
        <v>5197</v>
      </c>
      <c r="W44" s="232">
        <f t="shared" si="7"/>
        <v>5921.6</v>
      </c>
      <c r="X44" s="233">
        <f t="shared" si="8"/>
        <v>3974</v>
      </c>
      <c r="Y44" s="232">
        <f t="shared" si="9"/>
        <v>4943.2</v>
      </c>
    </row>
    <row r="45" ht="22.5" customHeight="1">
      <c r="O45" s="230">
        <v>4.3</v>
      </c>
      <c r="P45" s="230">
        <f t="shared" si="1"/>
        <v>8980</v>
      </c>
      <c r="Q45" s="231">
        <f t="shared" si="2"/>
        <v>3708</v>
      </c>
      <c r="R45" s="231">
        <f t="shared" si="3"/>
        <v>4931</v>
      </c>
      <c r="S45" s="231">
        <f t="shared" si="4"/>
        <v>2966.4</v>
      </c>
      <c r="T45" s="231">
        <f t="shared" si="5"/>
        <v>3944.8</v>
      </c>
      <c r="V45" s="232">
        <f t="shared" si="6"/>
        <v>5272</v>
      </c>
      <c r="W45" s="232">
        <f t="shared" si="7"/>
        <v>6013.6</v>
      </c>
      <c r="X45" s="233">
        <f t="shared" si="8"/>
        <v>4049</v>
      </c>
      <c r="Y45" s="232">
        <f t="shared" si="9"/>
        <v>5035.2</v>
      </c>
    </row>
    <row r="46" ht="22.5" customHeight="1">
      <c r="O46" s="230">
        <v>4.4</v>
      </c>
      <c r="P46" s="230">
        <f t="shared" si="1"/>
        <v>9140</v>
      </c>
      <c r="Q46" s="231">
        <f t="shared" si="2"/>
        <v>3793</v>
      </c>
      <c r="R46" s="231">
        <f t="shared" si="3"/>
        <v>5016</v>
      </c>
      <c r="S46" s="231">
        <f t="shared" si="4"/>
        <v>3034.4</v>
      </c>
      <c r="T46" s="231">
        <f t="shared" si="5"/>
        <v>4012.8</v>
      </c>
      <c r="V46" s="232">
        <f t="shared" si="6"/>
        <v>5347</v>
      </c>
      <c r="W46" s="232">
        <f t="shared" si="7"/>
        <v>6105.6</v>
      </c>
      <c r="X46" s="233">
        <f t="shared" si="8"/>
        <v>4124</v>
      </c>
      <c r="Y46" s="232">
        <f t="shared" si="9"/>
        <v>5127.2</v>
      </c>
    </row>
    <row r="47" ht="22.5" customHeight="1">
      <c r="O47" s="230">
        <v>4.5</v>
      </c>
      <c r="P47" s="230">
        <f t="shared" si="1"/>
        <v>9300</v>
      </c>
      <c r="Q47" s="231">
        <f t="shared" si="2"/>
        <v>3878</v>
      </c>
      <c r="R47" s="231">
        <f t="shared" si="3"/>
        <v>5101</v>
      </c>
      <c r="S47" s="231">
        <f t="shared" si="4"/>
        <v>3102.4</v>
      </c>
      <c r="T47" s="231">
        <f t="shared" si="5"/>
        <v>4080.8</v>
      </c>
      <c r="V47" s="232">
        <f t="shared" si="6"/>
        <v>5422</v>
      </c>
      <c r="W47" s="232">
        <f t="shared" si="7"/>
        <v>6197.6</v>
      </c>
      <c r="X47" s="233">
        <f t="shared" si="8"/>
        <v>4199</v>
      </c>
      <c r="Y47" s="232">
        <f t="shared" si="9"/>
        <v>5219.2</v>
      </c>
    </row>
    <row r="48" ht="22.5" customHeight="1">
      <c r="O48" s="230">
        <v>4.6</v>
      </c>
      <c r="P48" s="230">
        <f t="shared" si="1"/>
        <v>9460</v>
      </c>
      <c r="Q48" s="231">
        <f t="shared" si="2"/>
        <v>3963</v>
      </c>
      <c r="R48" s="231">
        <f t="shared" si="3"/>
        <v>5186</v>
      </c>
      <c r="S48" s="231">
        <f t="shared" si="4"/>
        <v>3170.4</v>
      </c>
      <c r="T48" s="231">
        <f t="shared" si="5"/>
        <v>4148.8</v>
      </c>
      <c r="V48" s="232">
        <f t="shared" si="6"/>
        <v>5497</v>
      </c>
      <c r="W48" s="232">
        <f t="shared" si="7"/>
        <v>6289.6</v>
      </c>
      <c r="X48" s="233">
        <f t="shared" si="8"/>
        <v>4274</v>
      </c>
      <c r="Y48" s="232">
        <f t="shared" si="9"/>
        <v>5311.2</v>
      </c>
    </row>
    <row r="49" ht="22.5" customHeight="1">
      <c r="O49" s="230">
        <v>4.7</v>
      </c>
      <c r="P49" s="230">
        <f t="shared" si="1"/>
        <v>9620</v>
      </c>
      <c r="Q49" s="231">
        <f t="shared" si="2"/>
        <v>4048</v>
      </c>
      <c r="R49" s="231">
        <f t="shared" si="3"/>
        <v>5271</v>
      </c>
      <c r="S49" s="231">
        <f t="shared" si="4"/>
        <v>3238.4</v>
      </c>
      <c r="T49" s="231">
        <f t="shared" si="5"/>
        <v>4216.8</v>
      </c>
      <c r="V49" s="232">
        <f t="shared" si="6"/>
        <v>5572</v>
      </c>
      <c r="W49" s="232">
        <f t="shared" si="7"/>
        <v>6381.6</v>
      </c>
      <c r="X49" s="233">
        <f t="shared" si="8"/>
        <v>4349</v>
      </c>
      <c r="Y49" s="232">
        <f t="shared" si="9"/>
        <v>5403.2</v>
      </c>
    </row>
    <row r="50" ht="22.5" customHeight="1">
      <c r="O50" s="230">
        <v>4.8</v>
      </c>
      <c r="P50" s="230">
        <f t="shared" si="1"/>
        <v>9780</v>
      </c>
      <c r="Q50" s="231">
        <f t="shared" si="2"/>
        <v>4133</v>
      </c>
      <c r="R50" s="231">
        <f t="shared" si="3"/>
        <v>5356</v>
      </c>
      <c r="S50" s="231">
        <f t="shared" si="4"/>
        <v>3306.4</v>
      </c>
      <c r="T50" s="231">
        <f t="shared" si="5"/>
        <v>4284.8</v>
      </c>
      <c r="V50" s="232">
        <f t="shared" si="6"/>
        <v>5647</v>
      </c>
      <c r="W50" s="232">
        <f t="shared" si="7"/>
        <v>6473.6</v>
      </c>
      <c r="X50" s="233">
        <f t="shared" si="8"/>
        <v>4424</v>
      </c>
      <c r="Y50" s="232">
        <f t="shared" si="9"/>
        <v>5495.2</v>
      </c>
    </row>
    <row r="51" ht="22.5" customHeight="1">
      <c r="O51" s="230">
        <v>4.9</v>
      </c>
      <c r="P51" s="230">
        <f t="shared" si="1"/>
        <v>9940</v>
      </c>
      <c r="Q51" s="231">
        <f t="shared" si="2"/>
        <v>4218</v>
      </c>
      <c r="R51" s="231">
        <f t="shared" si="3"/>
        <v>5441</v>
      </c>
      <c r="S51" s="231">
        <f t="shared" si="4"/>
        <v>3374.4</v>
      </c>
      <c r="T51" s="231">
        <f t="shared" si="5"/>
        <v>4352.8</v>
      </c>
      <c r="V51" s="232">
        <f t="shared" si="6"/>
        <v>5722</v>
      </c>
      <c r="W51" s="232">
        <f t="shared" si="7"/>
        <v>6565.6</v>
      </c>
      <c r="X51" s="233">
        <f t="shared" si="8"/>
        <v>4499</v>
      </c>
      <c r="Y51" s="232">
        <f t="shared" si="9"/>
        <v>5587.2</v>
      </c>
    </row>
    <row r="52" ht="22.5" customHeight="1">
      <c r="O52" s="230">
        <v>5.0</v>
      </c>
      <c r="P52" s="230">
        <f t="shared" si="1"/>
        <v>10100</v>
      </c>
      <c r="Q52" s="231">
        <f t="shared" si="2"/>
        <v>4303</v>
      </c>
      <c r="R52" s="231">
        <f t="shared" si="3"/>
        <v>5526</v>
      </c>
      <c r="S52" s="231">
        <f t="shared" si="4"/>
        <v>3442.4</v>
      </c>
      <c r="T52" s="231">
        <f t="shared" si="5"/>
        <v>4420.8</v>
      </c>
      <c r="V52" s="232">
        <f t="shared" si="6"/>
        <v>5797</v>
      </c>
      <c r="W52" s="232">
        <f t="shared" si="7"/>
        <v>6657.6</v>
      </c>
      <c r="X52" s="233">
        <f t="shared" si="8"/>
        <v>4574</v>
      </c>
      <c r="Y52" s="232">
        <f t="shared" si="9"/>
        <v>5679.2</v>
      </c>
    </row>
    <row r="53" ht="22.5" customHeight="1">
      <c r="O53" s="230">
        <v>5.1</v>
      </c>
      <c r="P53" s="230">
        <f t="shared" si="1"/>
        <v>10260</v>
      </c>
      <c r="Q53" s="231">
        <f t="shared" si="2"/>
        <v>4388</v>
      </c>
      <c r="R53" s="231">
        <f t="shared" si="3"/>
        <v>5611</v>
      </c>
      <c r="S53" s="231">
        <f t="shared" si="4"/>
        <v>3510.4</v>
      </c>
      <c r="T53" s="231">
        <f t="shared" si="5"/>
        <v>4488.8</v>
      </c>
      <c r="V53" s="232">
        <f t="shared" si="6"/>
        <v>5872</v>
      </c>
      <c r="W53" s="232">
        <f t="shared" si="7"/>
        <v>6749.6</v>
      </c>
      <c r="X53" s="233">
        <f t="shared" si="8"/>
        <v>4649</v>
      </c>
      <c r="Y53" s="232">
        <f t="shared" si="9"/>
        <v>5771.2</v>
      </c>
    </row>
    <row r="54" ht="22.5" customHeight="1">
      <c r="O54" s="230">
        <v>5.2</v>
      </c>
      <c r="P54" s="230">
        <f t="shared" si="1"/>
        <v>10420</v>
      </c>
      <c r="Q54" s="231">
        <f t="shared" si="2"/>
        <v>4473</v>
      </c>
      <c r="R54" s="231">
        <f t="shared" si="3"/>
        <v>5696</v>
      </c>
      <c r="S54" s="231">
        <f t="shared" si="4"/>
        <v>3578.4</v>
      </c>
      <c r="T54" s="231">
        <f t="shared" si="5"/>
        <v>4556.8</v>
      </c>
      <c r="V54" s="232">
        <f t="shared" si="6"/>
        <v>5947</v>
      </c>
      <c r="W54" s="232">
        <f t="shared" si="7"/>
        <v>6841.6</v>
      </c>
      <c r="X54" s="233">
        <f t="shared" si="8"/>
        <v>4724</v>
      </c>
      <c r="Y54" s="232">
        <f t="shared" si="9"/>
        <v>5863.2</v>
      </c>
    </row>
    <row r="55" ht="22.5" customHeight="1">
      <c r="O55" s="230">
        <v>5.3</v>
      </c>
      <c r="P55" s="230">
        <f t="shared" si="1"/>
        <v>10580</v>
      </c>
      <c r="Q55" s="231">
        <f t="shared" si="2"/>
        <v>4558</v>
      </c>
      <c r="R55" s="231">
        <f t="shared" si="3"/>
        <v>5781</v>
      </c>
      <c r="S55" s="231">
        <f t="shared" si="4"/>
        <v>3646.4</v>
      </c>
      <c r="T55" s="231">
        <f t="shared" si="5"/>
        <v>4624.8</v>
      </c>
      <c r="V55" s="232">
        <f t="shared" si="6"/>
        <v>6022</v>
      </c>
      <c r="W55" s="232">
        <f t="shared" si="7"/>
        <v>6933.6</v>
      </c>
      <c r="X55" s="233">
        <f t="shared" si="8"/>
        <v>4799</v>
      </c>
      <c r="Y55" s="232">
        <f t="shared" si="9"/>
        <v>5955.2</v>
      </c>
    </row>
    <row r="56" ht="22.5" customHeight="1">
      <c r="O56" s="230">
        <v>5.4</v>
      </c>
      <c r="P56" s="230">
        <f t="shared" si="1"/>
        <v>10740</v>
      </c>
      <c r="Q56" s="231">
        <f t="shared" si="2"/>
        <v>4643</v>
      </c>
      <c r="R56" s="231">
        <f t="shared" si="3"/>
        <v>5866</v>
      </c>
      <c r="S56" s="231">
        <f t="shared" si="4"/>
        <v>3714.4</v>
      </c>
      <c r="T56" s="231">
        <f t="shared" si="5"/>
        <v>4692.8</v>
      </c>
      <c r="V56" s="232">
        <f t="shared" si="6"/>
        <v>6097</v>
      </c>
      <c r="W56" s="232">
        <f t="shared" si="7"/>
        <v>7025.6</v>
      </c>
      <c r="X56" s="233">
        <f t="shared" si="8"/>
        <v>4874</v>
      </c>
      <c r="Y56" s="232">
        <f t="shared" si="9"/>
        <v>6047.2</v>
      </c>
    </row>
    <row r="57" ht="22.5" customHeight="1">
      <c r="O57" s="230">
        <v>5.5</v>
      </c>
      <c r="P57" s="230">
        <f t="shared" si="1"/>
        <v>10900</v>
      </c>
      <c r="Q57" s="231">
        <f t="shared" si="2"/>
        <v>4728</v>
      </c>
      <c r="R57" s="231">
        <f t="shared" si="3"/>
        <v>5951</v>
      </c>
      <c r="S57" s="231">
        <f t="shared" si="4"/>
        <v>3782.4</v>
      </c>
      <c r="T57" s="231">
        <f t="shared" si="5"/>
        <v>4760.8</v>
      </c>
      <c r="V57" s="232">
        <f t="shared" si="6"/>
        <v>6172</v>
      </c>
      <c r="W57" s="232">
        <f t="shared" si="7"/>
        <v>7117.6</v>
      </c>
      <c r="X57" s="233">
        <f t="shared" si="8"/>
        <v>4949</v>
      </c>
      <c r="Y57" s="232">
        <f t="shared" si="9"/>
        <v>6139.2</v>
      </c>
    </row>
    <row r="58" ht="22.5" customHeight="1">
      <c r="O58" s="230">
        <v>5.6</v>
      </c>
      <c r="P58" s="230">
        <f t="shared" si="1"/>
        <v>11060</v>
      </c>
      <c r="Q58" s="231">
        <f t="shared" si="2"/>
        <v>4813</v>
      </c>
      <c r="R58" s="231">
        <f t="shared" si="3"/>
        <v>6036</v>
      </c>
      <c r="S58" s="231">
        <f t="shared" si="4"/>
        <v>3850.4</v>
      </c>
      <c r="T58" s="231">
        <f t="shared" si="5"/>
        <v>4828.8</v>
      </c>
      <c r="V58" s="232">
        <f t="shared" si="6"/>
        <v>6247</v>
      </c>
      <c r="W58" s="232">
        <f t="shared" si="7"/>
        <v>7209.6</v>
      </c>
      <c r="X58" s="233">
        <f t="shared" si="8"/>
        <v>5024</v>
      </c>
      <c r="Y58" s="232">
        <f t="shared" si="9"/>
        <v>6231.2</v>
      </c>
    </row>
    <row r="59" ht="22.5" customHeight="1">
      <c r="O59" s="230">
        <v>5.7</v>
      </c>
      <c r="P59" s="230">
        <f t="shared" si="1"/>
        <v>11220</v>
      </c>
      <c r="Q59" s="231">
        <f t="shared" si="2"/>
        <v>4898</v>
      </c>
      <c r="R59" s="231">
        <f t="shared" si="3"/>
        <v>6121</v>
      </c>
      <c r="S59" s="231">
        <f t="shared" si="4"/>
        <v>3918.4</v>
      </c>
      <c r="T59" s="231">
        <f t="shared" si="5"/>
        <v>4896.8</v>
      </c>
      <c r="V59" s="232">
        <f t="shared" si="6"/>
        <v>6322</v>
      </c>
      <c r="W59" s="232">
        <f t="shared" si="7"/>
        <v>7301.6</v>
      </c>
      <c r="X59" s="233">
        <f t="shared" si="8"/>
        <v>5099</v>
      </c>
      <c r="Y59" s="232">
        <f t="shared" si="9"/>
        <v>6323.2</v>
      </c>
    </row>
    <row r="60" ht="22.5" customHeight="1">
      <c r="O60" s="230">
        <v>5.8</v>
      </c>
      <c r="P60" s="230">
        <f t="shared" si="1"/>
        <v>11380</v>
      </c>
      <c r="Q60" s="231">
        <f t="shared" si="2"/>
        <v>4983</v>
      </c>
      <c r="R60" s="231">
        <f t="shared" si="3"/>
        <v>6206</v>
      </c>
      <c r="S60" s="231">
        <f t="shared" si="4"/>
        <v>3986.4</v>
      </c>
      <c r="T60" s="231">
        <f t="shared" si="5"/>
        <v>4964.8</v>
      </c>
      <c r="V60" s="232">
        <f t="shared" si="6"/>
        <v>6397</v>
      </c>
      <c r="W60" s="232">
        <f t="shared" si="7"/>
        <v>7393.6</v>
      </c>
      <c r="X60" s="233">
        <f t="shared" si="8"/>
        <v>5174</v>
      </c>
      <c r="Y60" s="232">
        <f t="shared" si="9"/>
        <v>6415.2</v>
      </c>
    </row>
    <row r="61" ht="22.5" customHeight="1">
      <c r="O61" s="230">
        <v>5.9</v>
      </c>
      <c r="P61" s="230">
        <f t="shared" si="1"/>
        <v>11540</v>
      </c>
      <c r="Q61" s="231">
        <f t="shared" si="2"/>
        <v>5068</v>
      </c>
      <c r="R61" s="231">
        <f t="shared" si="3"/>
        <v>6291</v>
      </c>
      <c r="S61" s="231">
        <f t="shared" si="4"/>
        <v>4054.4</v>
      </c>
      <c r="T61" s="231">
        <f t="shared" si="5"/>
        <v>5032.8</v>
      </c>
      <c r="V61" s="232">
        <f t="shared" si="6"/>
        <v>6472</v>
      </c>
      <c r="W61" s="232">
        <f t="shared" si="7"/>
        <v>7485.6</v>
      </c>
      <c r="X61" s="233">
        <f t="shared" si="8"/>
        <v>5249</v>
      </c>
      <c r="Y61" s="232">
        <f t="shared" si="9"/>
        <v>6507.2</v>
      </c>
    </row>
    <row r="62" ht="22.5" customHeight="1">
      <c r="O62" s="230">
        <v>6.0</v>
      </c>
      <c r="P62" s="230">
        <f t="shared" si="1"/>
        <v>11700</v>
      </c>
      <c r="Q62" s="231">
        <f t="shared" si="2"/>
        <v>5153</v>
      </c>
      <c r="R62" s="231">
        <f t="shared" si="3"/>
        <v>6376</v>
      </c>
      <c r="S62" s="231">
        <f t="shared" si="4"/>
        <v>4122.4</v>
      </c>
      <c r="T62" s="231">
        <f t="shared" si="5"/>
        <v>5100.8</v>
      </c>
      <c r="V62" s="232">
        <f t="shared" si="6"/>
        <v>6547</v>
      </c>
      <c r="W62" s="232">
        <f t="shared" si="7"/>
        <v>7577.6</v>
      </c>
      <c r="X62" s="233">
        <f t="shared" si="8"/>
        <v>5324</v>
      </c>
      <c r="Y62" s="232">
        <f t="shared" si="9"/>
        <v>6599.2</v>
      </c>
    </row>
    <row r="63" ht="22.5" customHeight="1">
      <c r="O63" s="230">
        <v>6.1</v>
      </c>
      <c r="P63" s="230">
        <f t="shared" si="1"/>
        <v>11860</v>
      </c>
      <c r="Q63" s="231">
        <f t="shared" si="2"/>
        <v>5238</v>
      </c>
      <c r="R63" s="231">
        <f t="shared" si="3"/>
        <v>6461</v>
      </c>
      <c r="S63" s="231">
        <f t="shared" si="4"/>
        <v>4190.4</v>
      </c>
      <c r="T63" s="231">
        <f t="shared" si="5"/>
        <v>5168.8</v>
      </c>
      <c r="V63" s="232">
        <f t="shared" si="6"/>
        <v>6622</v>
      </c>
      <c r="W63" s="232">
        <f t="shared" si="7"/>
        <v>7669.6</v>
      </c>
      <c r="X63" s="233">
        <f t="shared" si="8"/>
        <v>5399</v>
      </c>
      <c r="Y63" s="232">
        <f t="shared" si="9"/>
        <v>6691.2</v>
      </c>
    </row>
    <row r="64" ht="22.5" customHeight="1">
      <c r="O64" s="230">
        <v>6.2</v>
      </c>
      <c r="P64" s="230">
        <f t="shared" si="1"/>
        <v>12020</v>
      </c>
      <c r="Q64" s="231">
        <f t="shared" si="2"/>
        <v>5323</v>
      </c>
      <c r="R64" s="231">
        <f t="shared" si="3"/>
        <v>6546</v>
      </c>
      <c r="S64" s="231">
        <f t="shared" si="4"/>
        <v>4258.4</v>
      </c>
      <c r="T64" s="231">
        <f t="shared" si="5"/>
        <v>5236.8</v>
      </c>
      <c r="V64" s="232">
        <f t="shared" si="6"/>
        <v>6697</v>
      </c>
      <c r="W64" s="232">
        <f t="shared" si="7"/>
        <v>7761.6</v>
      </c>
      <c r="X64" s="233">
        <f t="shared" si="8"/>
        <v>5474</v>
      </c>
      <c r="Y64" s="232">
        <f t="shared" si="9"/>
        <v>6783.2</v>
      </c>
    </row>
    <row r="65" ht="22.5" customHeight="1">
      <c r="O65" s="230">
        <v>6.3</v>
      </c>
      <c r="P65" s="230">
        <f t="shared" si="1"/>
        <v>12180</v>
      </c>
      <c r="Q65" s="231">
        <f t="shared" si="2"/>
        <v>5408</v>
      </c>
      <c r="R65" s="231">
        <f t="shared" si="3"/>
        <v>6631</v>
      </c>
      <c r="S65" s="231">
        <f t="shared" si="4"/>
        <v>4326.4</v>
      </c>
      <c r="T65" s="231">
        <f t="shared" si="5"/>
        <v>5304.8</v>
      </c>
      <c r="V65" s="232">
        <f t="shared" si="6"/>
        <v>6772</v>
      </c>
      <c r="W65" s="232">
        <f t="shared" si="7"/>
        <v>7853.6</v>
      </c>
      <c r="X65" s="233">
        <f t="shared" si="8"/>
        <v>5549</v>
      </c>
      <c r="Y65" s="232">
        <f t="shared" si="9"/>
        <v>6875.2</v>
      </c>
    </row>
    <row r="66" ht="22.5" customHeight="1">
      <c r="O66" s="230">
        <v>6.4</v>
      </c>
      <c r="P66" s="230">
        <f t="shared" si="1"/>
        <v>12340</v>
      </c>
      <c r="Q66" s="231">
        <f t="shared" si="2"/>
        <v>5493</v>
      </c>
      <c r="R66" s="231">
        <f t="shared" si="3"/>
        <v>6716</v>
      </c>
      <c r="S66" s="231">
        <f t="shared" si="4"/>
        <v>4394.4</v>
      </c>
      <c r="T66" s="231">
        <f t="shared" si="5"/>
        <v>5372.8</v>
      </c>
      <c r="V66" s="232">
        <f t="shared" si="6"/>
        <v>6847</v>
      </c>
      <c r="W66" s="232">
        <f t="shared" si="7"/>
        <v>7945.6</v>
      </c>
      <c r="X66" s="233">
        <f t="shared" si="8"/>
        <v>5624</v>
      </c>
      <c r="Y66" s="232">
        <f t="shared" si="9"/>
        <v>6967.2</v>
      </c>
    </row>
    <row r="67" ht="22.5" customHeight="1">
      <c r="O67" s="230">
        <v>6.5</v>
      </c>
      <c r="P67" s="230">
        <f t="shared" si="1"/>
        <v>12500</v>
      </c>
      <c r="Q67" s="231">
        <f t="shared" si="2"/>
        <v>5578</v>
      </c>
      <c r="R67" s="231">
        <f t="shared" si="3"/>
        <v>6801</v>
      </c>
      <c r="S67" s="231">
        <f t="shared" si="4"/>
        <v>4462.4</v>
      </c>
      <c r="T67" s="231">
        <f t="shared" si="5"/>
        <v>5440.8</v>
      </c>
      <c r="V67" s="232">
        <f t="shared" si="6"/>
        <v>6922</v>
      </c>
      <c r="W67" s="232">
        <f t="shared" si="7"/>
        <v>8037.6</v>
      </c>
      <c r="X67" s="233">
        <f t="shared" si="8"/>
        <v>5699</v>
      </c>
      <c r="Y67" s="232">
        <f t="shared" si="9"/>
        <v>7059.2</v>
      </c>
    </row>
    <row r="68" ht="22.5" customHeight="1">
      <c r="O68" s="230">
        <v>6.6</v>
      </c>
      <c r="P68" s="230">
        <f t="shared" si="1"/>
        <v>12660</v>
      </c>
      <c r="Q68" s="231">
        <f t="shared" si="2"/>
        <v>5663</v>
      </c>
      <c r="R68" s="231">
        <f t="shared" si="3"/>
        <v>6886</v>
      </c>
      <c r="S68" s="231">
        <f t="shared" si="4"/>
        <v>4530.4</v>
      </c>
      <c r="T68" s="231">
        <f t="shared" si="5"/>
        <v>5508.8</v>
      </c>
      <c r="V68" s="232">
        <f t="shared" si="6"/>
        <v>6997</v>
      </c>
      <c r="W68" s="232">
        <f t="shared" si="7"/>
        <v>8129.6</v>
      </c>
      <c r="X68" s="233">
        <f t="shared" si="8"/>
        <v>5774</v>
      </c>
      <c r="Y68" s="232">
        <f t="shared" si="9"/>
        <v>7151.2</v>
      </c>
    </row>
    <row r="69" ht="22.5" customHeight="1">
      <c r="O69" s="230">
        <v>6.7</v>
      </c>
      <c r="P69" s="230">
        <f t="shared" si="1"/>
        <v>12820</v>
      </c>
      <c r="Q69" s="231">
        <f t="shared" si="2"/>
        <v>5748</v>
      </c>
      <c r="R69" s="231">
        <f t="shared" si="3"/>
        <v>6971</v>
      </c>
      <c r="S69" s="231">
        <f t="shared" si="4"/>
        <v>4598.4</v>
      </c>
      <c r="T69" s="231">
        <f t="shared" si="5"/>
        <v>5576.8</v>
      </c>
      <c r="V69" s="232">
        <f t="shared" si="6"/>
        <v>7072</v>
      </c>
      <c r="W69" s="232">
        <f t="shared" si="7"/>
        <v>8221.6</v>
      </c>
      <c r="X69" s="233">
        <f t="shared" si="8"/>
        <v>5849</v>
      </c>
      <c r="Y69" s="232">
        <f t="shared" si="9"/>
        <v>7243.2</v>
      </c>
    </row>
    <row r="70" ht="22.5" customHeight="1">
      <c r="O70" s="230">
        <v>6.8</v>
      </c>
      <c r="P70" s="230">
        <f t="shared" si="1"/>
        <v>12980</v>
      </c>
      <c r="Q70" s="231">
        <f t="shared" si="2"/>
        <v>5833</v>
      </c>
      <c r="R70" s="231">
        <f t="shared" si="3"/>
        <v>7056</v>
      </c>
      <c r="S70" s="231">
        <f t="shared" si="4"/>
        <v>4666.4</v>
      </c>
      <c r="T70" s="231">
        <f t="shared" si="5"/>
        <v>5644.8</v>
      </c>
      <c r="V70" s="232">
        <f t="shared" si="6"/>
        <v>7147</v>
      </c>
      <c r="W70" s="232">
        <f t="shared" si="7"/>
        <v>8313.6</v>
      </c>
      <c r="X70" s="233">
        <f t="shared" si="8"/>
        <v>5924</v>
      </c>
      <c r="Y70" s="232">
        <f t="shared" si="9"/>
        <v>7335.2</v>
      </c>
    </row>
    <row r="71" ht="22.5" customHeight="1">
      <c r="O71" s="230">
        <v>6.9</v>
      </c>
      <c r="P71" s="230">
        <f t="shared" si="1"/>
        <v>13140</v>
      </c>
      <c r="Q71" s="231">
        <f t="shared" si="2"/>
        <v>5918</v>
      </c>
      <c r="R71" s="231">
        <f t="shared" si="3"/>
        <v>7141</v>
      </c>
      <c r="S71" s="231">
        <f t="shared" si="4"/>
        <v>4734.4</v>
      </c>
      <c r="T71" s="231">
        <f t="shared" si="5"/>
        <v>5712.8</v>
      </c>
      <c r="V71" s="232">
        <f t="shared" si="6"/>
        <v>7222</v>
      </c>
      <c r="W71" s="232">
        <f t="shared" si="7"/>
        <v>8405.6</v>
      </c>
      <c r="X71" s="233">
        <f t="shared" si="8"/>
        <v>5999</v>
      </c>
      <c r="Y71" s="232">
        <f t="shared" si="9"/>
        <v>7427.2</v>
      </c>
    </row>
    <row r="72" ht="22.5" customHeight="1">
      <c r="O72" s="230">
        <v>7.0</v>
      </c>
      <c r="P72" s="230">
        <f t="shared" si="1"/>
        <v>13300</v>
      </c>
      <c r="Q72" s="231">
        <f t="shared" si="2"/>
        <v>6003</v>
      </c>
      <c r="R72" s="231">
        <f t="shared" si="3"/>
        <v>7226</v>
      </c>
      <c r="S72" s="231">
        <f t="shared" si="4"/>
        <v>4802.4</v>
      </c>
      <c r="T72" s="231">
        <f t="shared" si="5"/>
        <v>5780.8</v>
      </c>
      <c r="V72" s="232">
        <f t="shared" si="6"/>
        <v>7297</v>
      </c>
      <c r="W72" s="232">
        <f t="shared" si="7"/>
        <v>8497.6</v>
      </c>
      <c r="X72" s="233">
        <f t="shared" si="8"/>
        <v>6074</v>
      </c>
      <c r="Y72" s="232">
        <f t="shared" si="9"/>
        <v>7519.2</v>
      </c>
    </row>
    <row r="73" ht="22.5" customHeight="1">
      <c r="O73" s="230">
        <v>7.1</v>
      </c>
      <c r="P73" s="230">
        <f t="shared" si="1"/>
        <v>13460</v>
      </c>
      <c r="Q73" s="231">
        <f t="shared" si="2"/>
        <v>6088</v>
      </c>
      <c r="R73" s="231">
        <f t="shared" si="3"/>
        <v>7311</v>
      </c>
      <c r="S73" s="231">
        <f t="shared" si="4"/>
        <v>4870.4</v>
      </c>
      <c r="T73" s="231">
        <f t="shared" si="5"/>
        <v>5848.8</v>
      </c>
      <c r="V73" s="232">
        <f t="shared" si="6"/>
        <v>7372</v>
      </c>
      <c r="W73" s="232">
        <f t="shared" si="7"/>
        <v>8589.6</v>
      </c>
      <c r="X73" s="233">
        <f t="shared" si="8"/>
        <v>6149</v>
      </c>
      <c r="Y73" s="232">
        <f t="shared" si="9"/>
        <v>7611.2</v>
      </c>
    </row>
    <row r="74" ht="22.5" customHeight="1">
      <c r="O74" s="230">
        <v>7.2</v>
      </c>
      <c r="P74" s="230">
        <f t="shared" si="1"/>
        <v>13620</v>
      </c>
      <c r="Q74" s="231">
        <f t="shared" si="2"/>
        <v>6173</v>
      </c>
      <c r="R74" s="231">
        <f t="shared" si="3"/>
        <v>7396</v>
      </c>
      <c r="S74" s="231">
        <f t="shared" si="4"/>
        <v>4938.4</v>
      </c>
      <c r="T74" s="231">
        <f t="shared" si="5"/>
        <v>5916.8</v>
      </c>
      <c r="V74" s="232">
        <f t="shared" si="6"/>
        <v>7447</v>
      </c>
      <c r="W74" s="232">
        <f t="shared" si="7"/>
        <v>8681.6</v>
      </c>
      <c r="X74" s="233">
        <f t="shared" si="8"/>
        <v>6224</v>
      </c>
      <c r="Y74" s="232">
        <f t="shared" si="9"/>
        <v>7703.2</v>
      </c>
    </row>
    <row r="75" ht="22.5" customHeight="1">
      <c r="O75" s="230">
        <v>7.3</v>
      </c>
      <c r="P75" s="230">
        <f t="shared" si="1"/>
        <v>13780</v>
      </c>
      <c r="Q75" s="231">
        <f t="shared" si="2"/>
        <v>6258</v>
      </c>
      <c r="R75" s="231">
        <f t="shared" si="3"/>
        <v>7481</v>
      </c>
      <c r="S75" s="231">
        <f t="shared" si="4"/>
        <v>5006.4</v>
      </c>
      <c r="T75" s="231">
        <f t="shared" si="5"/>
        <v>5984.8</v>
      </c>
      <c r="V75" s="232">
        <f t="shared" si="6"/>
        <v>7522</v>
      </c>
      <c r="W75" s="232">
        <f t="shared" si="7"/>
        <v>8773.6</v>
      </c>
      <c r="X75" s="233">
        <f t="shared" si="8"/>
        <v>6299</v>
      </c>
      <c r="Y75" s="232">
        <f t="shared" si="9"/>
        <v>7795.2</v>
      </c>
    </row>
    <row r="76" ht="22.5" customHeight="1">
      <c r="O76" s="230">
        <v>7.4</v>
      </c>
      <c r="P76" s="230">
        <f t="shared" si="1"/>
        <v>13940</v>
      </c>
      <c r="Q76" s="231">
        <f t="shared" si="2"/>
        <v>6343</v>
      </c>
      <c r="R76" s="231">
        <f t="shared" si="3"/>
        <v>7566</v>
      </c>
      <c r="S76" s="231">
        <f t="shared" si="4"/>
        <v>5074.4</v>
      </c>
      <c r="T76" s="231">
        <f t="shared" si="5"/>
        <v>6052.8</v>
      </c>
      <c r="V76" s="232">
        <f t="shared" si="6"/>
        <v>7597</v>
      </c>
      <c r="W76" s="232">
        <f t="shared" si="7"/>
        <v>8865.6</v>
      </c>
      <c r="X76" s="233">
        <f t="shared" si="8"/>
        <v>6374</v>
      </c>
      <c r="Y76" s="232">
        <f t="shared" si="9"/>
        <v>7887.2</v>
      </c>
    </row>
    <row r="77" ht="22.5" customHeight="1">
      <c r="O77" s="230">
        <v>7.5</v>
      </c>
      <c r="P77" s="230">
        <f t="shared" si="1"/>
        <v>14100</v>
      </c>
      <c r="Q77" s="231">
        <f t="shared" si="2"/>
        <v>6428</v>
      </c>
      <c r="R77" s="231">
        <f t="shared" si="3"/>
        <v>7651</v>
      </c>
      <c r="S77" s="231">
        <f t="shared" si="4"/>
        <v>5142.4</v>
      </c>
      <c r="T77" s="231">
        <f t="shared" si="5"/>
        <v>6120.8</v>
      </c>
      <c r="V77" s="232">
        <f t="shared" si="6"/>
        <v>7672</v>
      </c>
      <c r="W77" s="232">
        <f t="shared" si="7"/>
        <v>8957.6</v>
      </c>
      <c r="X77" s="233">
        <f t="shared" si="8"/>
        <v>6449</v>
      </c>
      <c r="Y77" s="232">
        <f t="shared" si="9"/>
        <v>7979.2</v>
      </c>
    </row>
    <row r="78" ht="22.5" customHeight="1">
      <c r="O78" s="230">
        <v>7.6</v>
      </c>
      <c r="P78" s="230">
        <f t="shared" si="1"/>
        <v>14260</v>
      </c>
      <c r="Q78" s="231">
        <f t="shared" si="2"/>
        <v>6513</v>
      </c>
      <c r="R78" s="231">
        <f t="shared" si="3"/>
        <v>7736</v>
      </c>
      <c r="S78" s="231">
        <f t="shared" si="4"/>
        <v>5210.4</v>
      </c>
      <c r="T78" s="231">
        <f t="shared" si="5"/>
        <v>6188.8</v>
      </c>
      <c r="V78" s="232">
        <f t="shared" si="6"/>
        <v>7747</v>
      </c>
      <c r="W78" s="232">
        <f t="shared" si="7"/>
        <v>9049.6</v>
      </c>
      <c r="X78" s="233">
        <f t="shared" si="8"/>
        <v>6524</v>
      </c>
      <c r="Y78" s="232">
        <f t="shared" si="9"/>
        <v>8071.2</v>
      </c>
    </row>
    <row r="79" ht="22.5" customHeight="1">
      <c r="O79" s="230">
        <v>7.7</v>
      </c>
      <c r="P79" s="230">
        <f t="shared" si="1"/>
        <v>14420</v>
      </c>
      <c r="Q79" s="231">
        <f t="shared" si="2"/>
        <v>6598</v>
      </c>
      <c r="R79" s="231">
        <f t="shared" si="3"/>
        <v>7821</v>
      </c>
      <c r="S79" s="231">
        <f t="shared" si="4"/>
        <v>5278.4</v>
      </c>
      <c r="T79" s="231">
        <f t="shared" si="5"/>
        <v>6256.8</v>
      </c>
      <c r="V79" s="232">
        <f t="shared" si="6"/>
        <v>7822</v>
      </c>
      <c r="W79" s="232">
        <f t="shared" si="7"/>
        <v>9141.6</v>
      </c>
      <c r="X79" s="233">
        <f t="shared" si="8"/>
        <v>6599</v>
      </c>
      <c r="Y79" s="232">
        <f t="shared" si="9"/>
        <v>8163.2</v>
      </c>
    </row>
    <row r="80" ht="22.5" customHeight="1">
      <c r="O80" s="230">
        <v>7.8</v>
      </c>
      <c r="P80" s="230">
        <f t="shared" si="1"/>
        <v>14580</v>
      </c>
      <c r="Q80" s="231">
        <f t="shared" si="2"/>
        <v>6683</v>
      </c>
      <c r="R80" s="231">
        <f t="shared" si="3"/>
        <v>7906</v>
      </c>
      <c r="S80" s="231">
        <f t="shared" si="4"/>
        <v>5346.4</v>
      </c>
      <c r="T80" s="231">
        <f t="shared" si="5"/>
        <v>6324.8</v>
      </c>
      <c r="V80" s="232">
        <f t="shared" si="6"/>
        <v>7897</v>
      </c>
      <c r="W80" s="232">
        <f t="shared" si="7"/>
        <v>9233.6</v>
      </c>
      <c r="X80" s="233">
        <f t="shared" si="8"/>
        <v>6674</v>
      </c>
      <c r="Y80" s="232">
        <f t="shared" si="9"/>
        <v>8255.2</v>
      </c>
    </row>
    <row r="81" ht="22.5" customHeight="1">
      <c r="O81" s="230">
        <v>7.9</v>
      </c>
      <c r="P81" s="230">
        <f t="shared" si="1"/>
        <v>14740</v>
      </c>
      <c r="Q81" s="231">
        <f t="shared" si="2"/>
        <v>6768</v>
      </c>
      <c r="R81" s="231">
        <f t="shared" si="3"/>
        <v>7991</v>
      </c>
      <c r="S81" s="231">
        <f t="shared" si="4"/>
        <v>5414.4</v>
      </c>
      <c r="T81" s="231">
        <f t="shared" si="5"/>
        <v>6392.8</v>
      </c>
      <c r="V81" s="232">
        <f t="shared" si="6"/>
        <v>7972</v>
      </c>
      <c r="W81" s="232">
        <f t="shared" si="7"/>
        <v>9325.6</v>
      </c>
      <c r="X81" s="233">
        <f t="shared" si="8"/>
        <v>6749</v>
      </c>
      <c r="Y81" s="232">
        <f t="shared" si="9"/>
        <v>8347.2</v>
      </c>
    </row>
    <row r="82" ht="22.5" customHeight="1">
      <c r="O82" s="230">
        <v>8.0</v>
      </c>
      <c r="P82" s="230">
        <f t="shared" si="1"/>
        <v>14900</v>
      </c>
      <c r="Q82" s="231">
        <f t="shared" si="2"/>
        <v>6853</v>
      </c>
      <c r="R82" s="231">
        <f t="shared" si="3"/>
        <v>8076</v>
      </c>
      <c r="S82" s="231">
        <f t="shared" si="4"/>
        <v>5482.4</v>
      </c>
      <c r="T82" s="231">
        <f t="shared" si="5"/>
        <v>6460.8</v>
      </c>
      <c r="V82" s="232">
        <f t="shared" si="6"/>
        <v>8047</v>
      </c>
      <c r="W82" s="232">
        <f t="shared" si="7"/>
        <v>9417.6</v>
      </c>
      <c r="X82" s="233">
        <f t="shared" si="8"/>
        <v>6824</v>
      </c>
      <c r="Y82" s="232">
        <f t="shared" si="9"/>
        <v>8439.2</v>
      </c>
    </row>
    <row r="83" ht="22.5" customHeight="1">
      <c r="O83" s="230">
        <v>8.1</v>
      </c>
      <c r="P83" s="230">
        <f t="shared" si="1"/>
        <v>15060</v>
      </c>
      <c r="Q83" s="231">
        <f t="shared" si="2"/>
        <v>6938</v>
      </c>
      <c r="R83" s="231">
        <f t="shared" si="3"/>
        <v>8161</v>
      </c>
      <c r="S83" s="231">
        <f t="shared" si="4"/>
        <v>5550.4</v>
      </c>
      <c r="T83" s="231">
        <f t="shared" si="5"/>
        <v>6528.8</v>
      </c>
      <c r="V83" s="232">
        <f t="shared" si="6"/>
        <v>8122</v>
      </c>
      <c r="W83" s="232">
        <f t="shared" si="7"/>
        <v>9509.6</v>
      </c>
      <c r="X83" s="233">
        <f t="shared" si="8"/>
        <v>6899</v>
      </c>
      <c r="Y83" s="232">
        <f t="shared" si="9"/>
        <v>8531.2</v>
      </c>
    </row>
    <row r="84" ht="22.5" customHeight="1">
      <c r="O84" s="230">
        <v>8.2</v>
      </c>
      <c r="P84" s="230">
        <f t="shared" si="1"/>
        <v>15220</v>
      </c>
      <c r="Q84" s="231">
        <f t="shared" si="2"/>
        <v>7023</v>
      </c>
      <c r="R84" s="231">
        <f t="shared" si="3"/>
        <v>8246</v>
      </c>
      <c r="S84" s="231">
        <f t="shared" si="4"/>
        <v>5618.4</v>
      </c>
      <c r="T84" s="231">
        <f t="shared" si="5"/>
        <v>6596.8</v>
      </c>
      <c r="V84" s="232">
        <f t="shared" si="6"/>
        <v>8197</v>
      </c>
      <c r="W84" s="232">
        <f t="shared" si="7"/>
        <v>9601.6</v>
      </c>
      <c r="X84" s="233">
        <f t="shared" si="8"/>
        <v>6974</v>
      </c>
      <c r="Y84" s="232">
        <f t="shared" si="9"/>
        <v>8623.2</v>
      </c>
    </row>
    <row r="85" ht="22.5" customHeight="1">
      <c r="O85" s="230">
        <v>8.3</v>
      </c>
      <c r="P85" s="230">
        <f t="shared" si="1"/>
        <v>15380</v>
      </c>
      <c r="Q85" s="231">
        <f t="shared" si="2"/>
        <v>7108</v>
      </c>
      <c r="R85" s="231">
        <f t="shared" si="3"/>
        <v>8331</v>
      </c>
      <c r="S85" s="231">
        <f t="shared" si="4"/>
        <v>5686.4</v>
      </c>
      <c r="T85" s="231">
        <f t="shared" si="5"/>
        <v>6664.8</v>
      </c>
      <c r="V85" s="232">
        <f t="shared" si="6"/>
        <v>8272</v>
      </c>
      <c r="W85" s="232">
        <f t="shared" si="7"/>
        <v>9693.6</v>
      </c>
      <c r="X85" s="233">
        <f t="shared" si="8"/>
        <v>7049</v>
      </c>
      <c r="Y85" s="232">
        <f t="shared" si="9"/>
        <v>8715.2</v>
      </c>
    </row>
    <row r="86" ht="22.5" customHeight="1">
      <c r="O86" s="230">
        <v>8.4</v>
      </c>
      <c r="P86" s="230">
        <f t="shared" si="1"/>
        <v>15540</v>
      </c>
      <c r="Q86" s="231">
        <f t="shared" si="2"/>
        <v>7193</v>
      </c>
      <c r="R86" s="231">
        <f t="shared" si="3"/>
        <v>8416</v>
      </c>
      <c r="S86" s="231">
        <f t="shared" si="4"/>
        <v>5754.4</v>
      </c>
      <c r="T86" s="231">
        <f t="shared" si="5"/>
        <v>6732.8</v>
      </c>
      <c r="V86" s="232">
        <f t="shared" si="6"/>
        <v>8347</v>
      </c>
      <c r="W86" s="232">
        <f t="shared" si="7"/>
        <v>9785.6</v>
      </c>
      <c r="X86" s="233">
        <f t="shared" si="8"/>
        <v>7124</v>
      </c>
      <c r="Y86" s="232">
        <f t="shared" si="9"/>
        <v>8807.2</v>
      </c>
    </row>
    <row r="87" ht="22.5" customHeight="1">
      <c r="O87" s="230">
        <v>8.5</v>
      </c>
      <c r="P87" s="230">
        <f t="shared" si="1"/>
        <v>15700</v>
      </c>
      <c r="Q87" s="231">
        <f t="shared" si="2"/>
        <v>7278</v>
      </c>
      <c r="R87" s="231">
        <f t="shared" si="3"/>
        <v>8501</v>
      </c>
      <c r="S87" s="231">
        <f t="shared" si="4"/>
        <v>5822.4</v>
      </c>
      <c r="T87" s="231">
        <f t="shared" si="5"/>
        <v>6800.8</v>
      </c>
      <c r="V87" s="232">
        <f t="shared" si="6"/>
        <v>8422</v>
      </c>
      <c r="W87" s="232">
        <f t="shared" si="7"/>
        <v>9877.6</v>
      </c>
      <c r="X87" s="233">
        <f t="shared" si="8"/>
        <v>7199</v>
      </c>
      <c r="Y87" s="232">
        <f t="shared" si="9"/>
        <v>8899.2</v>
      </c>
    </row>
    <row r="88" ht="22.5" customHeight="1">
      <c r="O88" s="230">
        <v>8.6</v>
      </c>
      <c r="P88" s="230">
        <f t="shared" si="1"/>
        <v>15860</v>
      </c>
      <c r="Q88" s="231">
        <f t="shared" si="2"/>
        <v>7363</v>
      </c>
      <c r="R88" s="231">
        <f t="shared" si="3"/>
        <v>8586</v>
      </c>
      <c r="S88" s="231">
        <f t="shared" si="4"/>
        <v>5890.4</v>
      </c>
      <c r="T88" s="231">
        <f t="shared" si="5"/>
        <v>6868.8</v>
      </c>
      <c r="V88" s="232">
        <f t="shared" si="6"/>
        <v>8497</v>
      </c>
      <c r="W88" s="232">
        <f t="shared" si="7"/>
        <v>9969.6</v>
      </c>
      <c r="X88" s="233">
        <f t="shared" si="8"/>
        <v>7274</v>
      </c>
      <c r="Y88" s="232">
        <f t="shared" si="9"/>
        <v>8991.2</v>
      </c>
    </row>
    <row r="89" ht="22.5" customHeight="1">
      <c r="O89" s="230">
        <v>8.7</v>
      </c>
      <c r="P89" s="230">
        <f t="shared" si="1"/>
        <v>16020</v>
      </c>
      <c r="Q89" s="231">
        <f t="shared" si="2"/>
        <v>7448</v>
      </c>
      <c r="R89" s="231">
        <f t="shared" si="3"/>
        <v>8671</v>
      </c>
      <c r="S89" s="231">
        <f t="shared" si="4"/>
        <v>5958.4</v>
      </c>
      <c r="T89" s="231">
        <f t="shared" si="5"/>
        <v>6936.8</v>
      </c>
      <c r="V89" s="232">
        <f t="shared" si="6"/>
        <v>8572</v>
      </c>
      <c r="W89" s="232">
        <f t="shared" si="7"/>
        <v>10061.6</v>
      </c>
      <c r="X89" s="233">
        <f t="shared" si="8"/>
        <v>7349</v>
      </c>
      <c r="Y89" s="232">
        <f t="shared" si="9"/>
        <v>9083.2</v>
      </c>
    </row>
    <row r="90" ht="22.5" customHeight="1">
      <c r="O90" s="230">
        <v>8.8</v>
      </c>
      <c r="P90" s="230">
        <f t="shared" si="1"/>
        <v>16180</v>
      </c>
      <c r="Q90" s="231">
        <f t="shared" si="2"/>
        <v>7533</v>
      </c>
      <c r="R90" s="231">
        <f t="shared" si="3"/>
        <v>8756</v>
      </c>
      <c r="S90" s="231">
        <f t="shared" si="4"/>
        <v>6026.4</v>
      </c>
      <c r="T90" s="231">
        <f t="shared" si="5"/>
        <v>7004.8</v>
      </c>
      <c r="V90" s="232">
        <f t="shared" si="6"/>
        <v>8647</v>
      </c>
      <c r="W90" s="232">
        <f t="shared" si="7"/>
        <v>10153.6</v>
      </c>
      <c r="X90" s="233">
        <f t="shared" si="8"/>
        <v>7424</v>
      </c>
      <c r="Y90" s="232">
        <f t="shared" si="9"/>
        <v>9175.2</v>
      </c>
    </row>
    <row r="91" ht="22.5" customHeight="1">
      <c r="O91" s="230">
        <v>8.9</v>
      </c>
      <c r="P91" s="230">
        <f t="shared" si="1"/>
        <v>16340</v>
      </c>
      <c r="Q91" s="231">
        <f t="shared" si="2"/>
        <v>7618</v>
      </c>
      <c r="R91" s="231">
        <f t="shared" si="3"/>
        <v>8841</v>
      </c>
      <c r="S91" s="231">
        <f t="shared" si="4"/>
        <v>6094.4</v>
      </c>
      <c r="T91" s="231">
        <f t="shared" si="5"/>
        <v>7072.8</v>
      </c>
      <c r="V91" s="232">
        <f t="shared" si="6"/>
        <v>8722</v>
      </c>
      <c r="W91" s="232">
        <f t="shared" si="7"/>
        <v>10245.6</v>
      </c>
      <c r="X91" s="233">
        <f t="shared" si="8"/>
        <v>7499</v>
      </c>
      <c r="Y91" s="232">
        <f t="shared" si="9"/>
        <v>9267.2</v>
      </c>
    </row>
    <row r="92" ht="22.5" customHeight="1">
      <c r="O92" s="230">
        <v>9.0</v>
      </c>
      <c r="P92" s="230">
        <f t="shared" si="1"/>
        <v>16500</v>
      </c>
      <c r="Q92" s="231">
        <f t="shared" si="2"/>
        <v>7703</v>
      </c>
      <c r="R92" s="231">
        <f t="shared" si="3"/>
        <v>8926</v>
      </c>
      <c r="S92" s="231">
        <f t="shared" si="4"/>
        <v>6162.4</v>
      </c>
      <c r="T92" s="231">
        <f t="shared" si="5"/>
        <v>7140.8</v>
      </c>
      <c r="V92" s="232">
        <f t="shared" si="6"/>
        <v>8797</v>
      </c>
      <c r="W92" s="232">
        <f t="shared" si="7"/>
        <v>10337.6</v>
      </c>
      <c r="X92" s="233">
        <f t="shared" si="8"/>
        <v>7574</v>
      </c>
      <c r="Y92" s="232">
        <f t="shared" si="9"/>
        <v>9359.2</v>
      </c>
    </row>
    <row r="93" ht="22.5" customHeight="1">
      <c r="O93" s="230">
        <v>9.1</v>
      </c>
      <c r="P93" s="230">
        <f t="shared" si="1"/>
        <v>16660</v>
      </c>
      <c r="Q93" s="231">
        <f t="shared" si="2"/>
        <v>7788</v>
      </c>
      <c r="R93" s="231">
        <f t="shared" si="3"/>
        <v>9011</v>
      </c>
      <c r="S93" s="231">
        <f t="shared" si="4"/>
        <v>6230.4</v>
      </c>
      <c r="T93" s="231">
        <f t="shared" si="5"/>
        <v>7208.8</v>
      </c>
      <c r="V93" s="232">
        <f t="shared" si="6"/>
        <v>8872</v>
      </c>
      <c r="W93" s="232">
        <f t="shared" si="7"/>
        <v>10429.6</v>
      </c>
      <c r="X93" s="233">
        <f t="shared" si="8"/>
        <v>7649</v>
      </c>
      <c r="Y93" s="232">
        <f t="shared" si="9"/>
        <v>9451.2</v>
      </c>
    </row>
    <row r="94" ht="22.5" customHeight="1">
      <c r="O94" s="230">
        <v>9.2</v>
      </c>
      <c r="P94" s="230">
        <f t="shared" si="1"/>
        <v>16820</v>
      </c>
      <c r="Q94" s="231">
        <f t="shared" si="2"/>
        <v>7873</v>
      </c>
      <c r="R94" s="231">
        <f t="shared" si="3"/>
        <v>9096</v>
      </c>
      <c r="S94" s="231">
        <f t="shared" si="4"/>
        <v>6298.4</v>
      </c>
      <c r="T94" s="231">
        <f t="shared" si="5"/>
        <v>7276.8</v>
      </c>
      <c r="V94" s="232">
        <f t="shared" si="6"/>
        <v>8947</v>
      </c>
      <c r="W94" s="232">
        <f t="shared" si="7"/>
        <v>10521.6</v>
      </c>
      <c r="X94" s="233">
        <f t="shared" si="8"/>
        <v>7724</v>
      </c>
      <c r="Y94" s="232">
        <f t="shared" si="9"/>
        <v>9543.2</v>
      </c>
    </row>
    <row r="95" ht="22.5" customHeight="1">
      <c r="O95" s="230">
        <v>9.3</v>
      </c>
      <c r="P95" s="230">
        <f t="shared" si="1"/>
        <v>16980</v>
      </c>
      <c r="Q95" s="231">
        <f t="shared" si="2"/>
        <v>7958</v>
      </c>
      <c r="R95" s="231">
        <f t="shared" si="3"/>
        <v>9181</v>
      </c>
      <c r="S95" s="231">
        <f t="shared" si="4"/>
        <v>6366.4</v>
      </c>
      <c r="T95" s="231">
        <f t="shared" si="5"/>
        <v>7344.8</v>
      </c>
      <c r="V95" s="232">
        <f t="shared" si="6"/>
        <v>9022</v>
      </c>
      <c r="W95" s="232">
        <f t="shared" si="7"/>
        <v>10613.6</v>
      </c>
      <c r="X95" s="233">
        <f t="shared" si="8"/>
        <v>7799</v>
      </c>
      <c r="Y95" s="232">
        <f t="shared" si="9"/>
        <v>9635.2</v>
      </c>
    </row>
    <row r="96" ht="22.5" customHeight="1">
      <c r="O96" s="230">
        <v>9.4</v>
      </c>
      <c r="P96" s="230">
        <f t="shared" si="1"/>
        <v>17140</v>
      </c>
      <c r="Q96" s="231">
        <f t="shared" si="2"/>
        <v>8043</v>
      </c>
      <c r="R96" s="231">
        <f t="shared" si="3"/>
        <v>9266</v>
      </c>
      <c r="S96" s="231">
        <f t="shared" si="4"/>
        <v>6434.4</v>
      </c>
      <c r="T96" s="231">
        <f t="shared" si="5"/>
        <v>7412.8</v>
      </c>
      <c r="V96" s="232">
        <f t="shared" si="6"/>
        <v>9097</v>
      </c>
      <c r="W96" s="232">
        <f t="shared" si="7"/>
        <v>10705.6</v>
      </c>
      <c r="X96" s="233">
        <f t="shared" si="8"/>
        <v>7874</v>
      </c>
      <c r="Y96" s="232">
        <f t="shared" si="9"/>
        <v>9727.2</v>
      </c>
    </row>
    <row r="97" ht="22.5" customHeight="1">
      <c r="O97" s="230">
        <v>9.5</v>
      </c>
      <c r="P97" s="230">
        <f t="shared" si="1"/>
        <v>17300</v>
      </c>
      <c r="Q97" s="231">
        <f t="shared" si="2"/>
        <v>8128</v>
      </c>
      <c r="R97" s="231">
        <f t="shared" si="3"/>
        <v>9351</v>
      </c>
      <c r="S97" s="231">
        <f t="shared" si="4"/>
        <v>6502.4</v>
      </c>
      <c r="T97" s="231">
        <f t="shared" si="5"/>
        <v>7480.8</v>
      </c>
      <c r="V97" s="232">
        <f t="shared" si="6"/>
        <v>9172</v>
      </c>
      <c r="W97" s="232">
        <f t="shared" si="7"/>
        <v>10797.6</v>
      </c>
      <c r="X97" s="233">
        <f t="shared" si="8"/>
        <v>7949</v>
      </c>
      <c r="Y97" s="232">
        <f t="shared" si="9"/>
        <v>9819.2</v>
      </c>
    </row>
    <row r="98" ht="22.5" customHeight="1">
      <c r="O98" s="230">
        <v>9.6</v>
      </c>
      <c r="P98" s="230">
        <f t="shared" si="1"/>
        <v>17460</v>
      </c>
      <c r="Q98" s="231">
        <f t="shared" si="2"/>
        <v>8213</v>
      </c>
      <c r="R98" s="231">
        <f t="shared" si="3"/>
        <v>9436</v>
      </c>
      <c r="S98" s="231">
        <f t="shared" si="4"/>
        <v>6570.4</v>
      </c>
      <c r="T98" s="231">
        <f t="shared" si="5"/>
        <v>7548.8</v>
      </c>
      <c r="V98" s="232">
        <f t="shared" si="6"/>
        <v>9247</v>
      </c>
      <c r="W98" s="232">
        <f t="shared" si="7"/>
        <v>10889.6</v>
      </c>
      <c r="X98" s="233">
        <f t="shared" si="8"/>
        <v>8024</v>
      </c>
      <c r="Y98" s="232">
        <f t="shared" si="9"/>
        <v>9911.2</v>
      </c>
    </row>
    <row r="99" ht="22.5" customHeight="1">
      <c r="O99" s="230">
        <v>9.7</v>
      </c>
      <c r="P99" s="230">
        <f t="shared" si="1"/>
        <v>17620</v>
      </c>
      <c r="Q99" s="231">
        <f t="shared" si="2"/>
        <v>8298</v>
      </c>
      <c r="R99" s="231">
        <f t="shared" si="3"/>
        <v>9521</v>
      </c>
      <c r="S99" s="231">
        <f t="shared" si="4"/>
        <v>6638.4</v>
      </c>
      <c r="T99" s="231">
        <f t="shared" si="5"/>
        <v>7616.8</v>
      </c>
      <c r="V99" s="232">
        <f t="shared" si="6"/>
        <v>9322</v>
      </c>
      <c r="W99" s="232">
        <f t="shared" si="7"/>
        <v>10981.6</v>
      </c>
      <c r="X99" s="233">
        <f t="shared" si="8"/>
        <v>8099</v>
      </c>
      <c r="Y99" s="232">
        <f t="shared" si="9"/>
        <v>10003.2</v>
      </c>
    </row>
    <row r="100" ht="22.5" customHeight="1">
      <c r="O100" s="230">
        <v>9.8</v>
      </c>
      <c r="P100" s="230">
        <f t="shared" si="1"/>
        <v>17780</v>
      </c>
      <c r="Q100" s="231">
        <f t="shared" si="2"/>
        <v>8383</v>
      </c>
      <c r="R100" s="231">
        <f t="shared" si="3"/>
        <v>9606</v>
      </c>
      <c r="S100" s="231">
        <f t="shared" si="4"/>
        <v>6706.4</v>
      </c>
      <c r="T100" s="231">
        <f t="shared" si="5"/>
        <v>7684.8</v>
      </c>
      <c r="V100" s="232">
        <f t="shared" si="6"/>
        <v>9397</v>
      </c>
      <c r="W100" s="232">
        <f t="shared" si="7"/>
        <v>11073.6</v>
      </c>
      <c r="X100" s="233">
        <f t="shared" si="8"/>
        <v>8174</v>
      </c>
      <c r="Y100" s="232">
        <f t="shared" si="9"/>
        <v>10095.2</v>
      </c>
    </row>
    <row r="101" ht="22.5" customHeight="1">
      <c r="O101" s="230">
        <v>9.9</v>
      </c>
      <c r="P101" s="230">
        <f t="shared" si="1"/>
        <v>17940</v>
      </c>
      <c r="Q101" s="231">
        <f t="shared" si="2"/>
        <v>8468</v>
      </c>
      <c r="R101" s="231">
        <f t="shared" si="3"/>
        <v>9691</v>
      </c>
      <c r="S101" s="231">
        <f t="shared" si="4"/>
        <v>6774.4</v>
      </c>
      <c r="T101" s="231">
        <f t="shared" si="5"/>
        <v>7752.8</v>
      </c>
      <c r="V101" s="232">
        <f t="shared" si="6"/>
        <v>9472</v>
      </c>
      <c r="W101" s="232">
        <f t="shared" si="7"/>
        <v>11165.6</v>
      </c>
      <c r="X101" s="233">
        <f t="shared" si="8"/>
        <v>8249</v>
      </c>
      <c r="Y101" s="232">
        <f t="shared" si="9"/>
        <v>10187.2</v>
      </c>
    </row>
    <row r="102" ht="22.5" customHeight="1">
      <c r="O102" s="230">
        <v>10.0</v>
      </c>
      <c r="P102" s="230">
        <f t="shared" si="1"/>
        <v>18100</v>
      </c>
      <c r="Q102" s="231">
        <f t="shared" si="2"/>
        <v>8553</v>
      </c>
      <c r="R102" s="231">
        <f t="shared" si="3"/>
        <v>9776</v>
      </c>
      <c r="S102" s="231">
        <f t="shared" si="4"/>
        <v>6842.4</v>
      </c>
      <c r="T102" s="231">
        <f t="shared" si="5"/>
        <v>7820.8</v>
      </c>
      <c r="V102" s="232">
        <f t="shared" si="6"/>
        <v>9547</v>
      </c>
      <c r="W102" s="232">
        <f t="shared" si="7"/>
        <v>11257.6</v>
      </c>
      <c r="X102" s="233">
        <f t="shared" si="8"/>
        <v>8324</v>
      </c>
      <c r="Y102" s="232">
        <f t="shared" si="9"/>
        <v>10279.2</v>
      </c>
    </row>
    <row r="103" ht="22.5" customHeight="1">
      <c r="O103" s="230">
        <v>10.1</v>
      </c>
      <c r="P103" s="230">
        <f t="shared" si="1"/>
        <v>18260</v>
      </c>
      <c r="Q103" s="231">
        <f t="shared" si="2"/>
        <v>8638</v>
      </c>
      <c r="R103" s="231">
        <f t="shared" si="3"/>
        <v>9861</v>
      </c>
      <c r="S103" s="231">
        <f t="shared" si="4"/>
        <v>6910.4</v>
      </c>
      <c r="T103" s="231">
        <f t="shared" si="5"/>
        <v>7888.8</v>
      </c>
      <c r="V103" s="232">
        <f t="shared" si="6"/>
        <v>9622</v>
      </c>
      <c r="W103" s="232">
        <f t="shared" si="7"/>
        <v>11349.6</v>
      </c>
      <c r="X103" s="233">
        <f t="shared" si="8"/>
        <v>8399</v>
      </c>
      <c r="Y103" s="232">
        <f t="shared" si="9"/>
        <v>10371.2</v>
      </c>
    </row>
    <row r="104" ht="22.5" customHeight="1">
      <c r="O104" s="230">
        <v>10.2</v>
      </c>
      <c r="P104" s="230">
        <f t="shared" si="1"/>
        <v>18420</v>
      </c>
      <c r="Q104" s="231">
        <f t="shared" si="2"/>
        <v>8723</v>
      </c>
      <c r="R104" s="231">
        <f t="shared" si="3"/>
        <v>9946</v>
      </c>
      <c r="S104" s="231">
        <f t="shared" si="4"/>
        <v>6978.4</v>
      </c>
      <c r="T104" s="231">
        <f t="shared" si="5"/>
        <v>7956.8</v>
      </c>
      <c r="V104" s="232">
        <f t="shared" si="6"/>
        <v>9697</v>
      </c>
      <c r="W104" s="232">
        <f t="shared" si="7"/>
        <v>11441.6</v>
      </c>
      <c r="X104" s="233">
        <f t="shared" si="8"/>
        <v>8474</v>
      </c>
      <c r="Y104" s="232">
        <f t="shared" si="9"/>
        <v>10463.2</v>
      </c>
    </row>
    <row r="105" ht="22.5" customHeight="1">
      <c r="O105" s="230">
        <v>10.3</v>
      </c>
      <c r="P105" s="230">
        <f t="shared" si="1"/>
        <v>18580</v>
      </c>
      <c r="Q105" s="231">
        <f t="shared" si="2"/>
        <v>8808</v>
      </c>
      <c r="R105" s="231">
        <f t="shared" si="3"/>
        <v>10031</v>
      </c>
      <c r="S105" s="231">
        <f t="shared" si="4"/>
        <v>7046.4</v>
      </c>
      <c r="T105" s="231">
        <f t="shared" si="5"/>
        <v>8024.8</v>
      </c>
      <c r="V105" s="232">
        <f t="shared" si="6"/>
        <v>9772</v>
      </c>
      <c r="W105" s="232">
        <f t="shared" si="7"/>
        <v>11533.6</v>
      </c>
      <c r="X105" s="233">
        <f t="shared" si="8"/>
        <v>8549</v>
      </c>
      <c r="Y105" s="232">
        <f t="shared" si="9"/>
        <v>10555.2</v>
      </c>
    </row>
    <row r="106" ht="22.5" customHeight="1">
      <c r="O106" s="230">
        <v>10.4</v>
      </c>
      <c r="P106" s="230">
        <f t="shared" si="1"/>
        <v>18740</v>
      </c>
      <c r="Q106" s="231">
        <f t="shared" si="2"/>
        <v>8893</v>
      </c>
      <c r="R106" s="231">
        <f t="shared" si="3"/>
        <v>10116</v>
      </c>
      <c r="S106" s="231">
        <f t="shared" si="4"/>
        <v>7114.4</v>
      </c>
      <c r="T106" s="231">
        <f t="shared" si="5"/>
        <v>8092.8</v>
      </c>
      <c r="V106" s="232">
        <f t="shared" si="6"/>
        <v>9847</v>
      </c>
      <c r="W106" s="232">
        <f t="shared" si="7"/>
        <v>11625.6</v>
      </c>
      <c r="X106" s="233">
        <f t="shared" si="8"/>
        <v>8624</v>
      </c>
      <c r="Y106" s="232">
        <f t="shared" si="9"/>
        <v>10647.2</v>
      </c>
    </row>
    <row r="107" ht="22.5" customHeight="1">
      <c r="O107" s="230">
        <v>10.5</v>
      </c>
      <c r="P107" s="230">
        <f t="shared" si="1"/>
        <v>18900</v>
      </c>
      <c r="Q107" s="231">
        <f t="shared" si="2"/>
        <v>8978</v>
      </c>
      <c r="R107" s="231">
        <f t="shared" si="3"/>
        <v>10201</v>
      </c>
      <c r="S107" s="231">
        <f t="shared" si="4"/>
        <v>7182.4</v>
      </c>
      <c r="T107" s="231">
        <f t="shared" si="5"/>
        <v>8160.8</v>
      </c>
      <c r="V107" s="232">
        <f t="shared" si="6"/>
        <v>9922</v>
      </c>
      <c r="W107" s="232">
        <f t="shared" si="7"/>
        <v>11717.6</v>
      </c>
      <c r="X107" s="233">
        <f t="shared" si="8"/>
        <v>8699</v>
      </c>
      <c r="Y107" s="232">
        <f t="shared" si="9"/>
        <v>10739.2</v>
      </c>
    </row>
    <row r="108" ht="22.5" customHeight="1">
      <c r="O108" s="230">
        <v>10.6</v>
      </c>
      <c r="P108" s="230">
        <f t="shared" si="1"/>
        <v>19060</v>
      </c>
      <c r="Q108" s="231">
        <f t="shared" si="2"/>
        <v>9063</v>
      </c>
      <c r="R108" s="231">
        <f t="shared" si="3"/>
        <v>10286</v>
      </c>
      <c r="S108" s="231">
        <f t="shared" si="4"/>
        <v>7250.4</v>
      </c>
      <c r="T108" s="231">
        <f t="shared" si="5"/>
        <v>8228.8</v>
      </c>
      <c r="V108" s="232">
        <f t="shared" si="6"/>
        <v>9997</v>
      </c>
      <c r="W108" s="232">
        <f t="shared" si="7"/>
        <v>11809.6</v>
      </c>
      <c r="X108" s="233">
        <f t="shared" si="8"/>
        <v>8774</v>
      </c>
      <c r="Y108" s="232">
        <f t="shared" si="9"/>
        <v>10831.2</v>
      </c>
    </row>
    <row r="109" ht="22.5" customHeight="1">
      <c r="O109" s="230">
        <v>10.7</v>
      </c>
      <c r="P109" s="230">
        <f t="shared" si="1"/>
        <v>19220</v>
      </c>
      <c r="Q109" s="231">
        <f t="shared" si="2"/>
        <v>9148</v>
      </c>
      <c r="R109" s="231">
        <f t="shared" si="3"/>
        <v>10371</v>
      </c>
      <c r="S109" s="231">
        <f t="shared" si="4"/>
        <v>7318.4</v>
      </c>
      <c r="T109" s="231">
        <f t="shared" si="5"/>
        <v>8296.8</v>
      </c>
      <c r="V109" s="232">
        <f t="shared" si="6"/>
        <v>10072</v>
      </c>
      <c r="W109" s="232">
        <f t="shared" si="7"/>
        <v>11901.6</v>
      </c>
      <c r="X109" s="233">
        <f t="shared" si="8"/>
        <v>8849</v>
      </c>
      <c r="Y109" s="232">
        <f t="shared" si="9"/>
        <v>10923.2</v>
      </c>
    </row>
    <row r="110" ht="22.5" customHeight="1">
      <c r="O110" s="230">
        <v>10.8</v>
      </c>
      <c r="P110" s="230">
        <f t="shared" si="1"/>
        <v>19380</v>
      </c>
      <c r="Q110" s="231">
        <f t="shared" si="2"/>
        <v>9233</v>
      </c>
      <c r="R110" s="231">
        <f t="shared" si="3"/>
        <v>10456</v>
      </c>
      <c r="S110" s="231">
        <f t="shared" si="4"/>
        <v>7386.4</v>
      </c>
      <c r="T110" s="231">
        <f t="shared" si="5"/>
        <v>8364.8</v>
      </c>
      <c r="V110" s="232">
        <f t="shared" si="6"/>
        <v>10147</v>
      </c>
      <c r="W110" s="232">
        <f t="shared" si="7"/>
        <v>11993.6</v>
      </c>
      <c r="X110" s="233">
        <f t="shared" si="8"/>
        <v>8924</v>
      </c>
      <c r="Y110" s="232">
        <f t="shared" si="9"/>
        <v>11015.2</v>
      </c>
    </row>
    <row r="111" ht="22.5" customHeight="1">
      <c r="O111" s="230">
        <v>10.9</v>
      </c>
      <c r="P111" s="230">
        <f t="shared" si="1"/>
        <v>19540</v>
      </c>
      <c r="Q111" s="231">
        <f t="shared" si="2"/>
        <v>9318</v>
      </c>
      <c r="R111" s="231">
        <f t="shared" si="3"/>
        <v>10541</v>
      </c>
      <c r="S111" s="231">
        <f t="shared" si="4"/>
        <v>7454.4</v>
      </c>
      <c r="T111" s="231">
        <f t="shared" si="5"/>
        <v>8432.8</v>
      </c>
      <c r="V111" s="232">
        <f t="shared" si="6"/>
        <v>10222</v>
      </c>
      <c r="W111" s="232">
        <f t="shared" si="7"/>
        <v>12085.6</v>
      </c>
      <c r="X111" s="233">
        <f t="shared" si="8"/>
        <v>8999</v>
      </c>
      <c r="Y111" s="232">
        <f t="shared" si="9"/>
        <v>11107.2</v>
      </c>
    </row>
    <row r="112" ht="22.5" customHeight="1">
      <c r="O112" s="230">
        <v>11.0</v>
      </c>
      <c r="P112" s="230">
        <f t="shared" si="1"/>
        <v>19700</v>
      </c>
      <c r="Q112" s="231">
        <f t="shared" si="2"/>
        <v>9403</v>
      </c>
      <c r="R112" s="231">
        <f t="shared" si="3"/>
        <v>10626</v>
      </c>
      <c r="S112" s="231">
        <f t="shared" si="4"/>
        <v>7522.4</v>
      </c>
      <c r="T112" s="231">
        <f t="shared" si="5"/>
        <v>8500.8</v>
      </c>
      <c r="V112" s="232">
        <f t="shared" si="6"/>
        <v>10297</v>
      </c>
      <c r="W112" s="232">
        <f t="shared" si="7"/>
        <v>12177.6</v>
      </c>
      <c r="X112" s="233">
        <f t="shared" si="8"/>
        <v>9074</v>
      </c>
      <c r="Y112" s="232">
        <f t="shared" si="9"/>
        <v>11199.2</v>
      </c>
    </row>
    <row r="113" ht="22.5" customHeight="1">
      <c r="O113" s="230">
        <v>11.1</v>
      </c>
      <c r="P113" s="230">
        <f t="shared" si="1"/>
        <v>19860</v>
      </c>
      <c r="Q113" s="231">
        <f t="shared" si="2"/>
        <v>9488</v>
      </c>
      <c r="R113" s="231">
        <f t="shared" si="3"/>
        <v>10711</v>
      </c>
      <c r="S113" s="231">
        <f t="shared" si="4"/>
        <v>7590.4</v>
      </c>
      <c r="T113" s="231">
        <f t="shared" si="5"/>
        <v>8568.8</v>
      </c>
      <c r="V113" s="232">
        <f t="shared" si="6"/>
        <v>10372</v>
      </c>
      <c r="W113" s="232">
        <f t="shared" si="7"/>
        <v>12269.6</v>
      </c>
      <c r="X113" s="233">
        <f t="shared" si="8"/>
        <v>9149</v>
      </c>
      <c r="Y113" s="232">
        <f t="shared" si="9"/>
        <v>11291.2</v>
      </c>
    </row>
    <row r="114" ht="22.5" customHeight="1">
      <c r="O114" s="230">
        <v>11.2</v>
      </c>
      <c r="P114" s="230">
        <f t="shared" si="1"/>
        <v>20020</v>
      </c>
      <c r="Q114" s="231">
        <f t="shared" si="2"/>
        <v>9573</v>
      </c>
      <c r="R114" s="231">
        <f t="shared" si="3"/>
        <v>10796</v>
      </c>
      <c r="S114" s="231">
        <f t="shared" si="4"/>
        <v>7658.4</v>
      </c>
      <c r="T114" s="231">
        <f t="shared" si="5"/>
        <v>8636.8</v>
      </c>
      <c r="V114" s="232">
        <f t="shared" si="6"/>
        <v>10447</v>
      </c>
      <c r="W114" s="232">
        <f t="shared" si="7"/>
        <v>12361.6</v>
      </c>
      <c r="X114" s="233">
        <f t="shared" si="8"/>
        <v>9224</v>
      </c>
      <c r="Y114" s="232">
        <f t="shared" si="9"/>
        <v>11383.2</v>
      </c>
    </row>
    <row r="115" ht="22.5" customHeight="1">
      <c r="O115" s="230">
        <v>11.3</v>
      </c>
      <c r="P115" s="230">
        <f t="shared" si="1"/>
        <v>20180</v>
      </c>
      <c r="Q115" s="231">
        <f t="shared" si="2"/>
        <v>9658</v>
      </c>
      <c r="R115" s="231">
        <f t="shared" si="3"/>
        <v>10881</v>
      </c>
      <c r="S115" s="231">
        <f t="shared" si="4"/>
        <v>7726.4</v>
      </c>
      <c r="T115" s="231">
        <f t="shared" si="5"/>
        <v>8704.8</v>
      </c>
      <c r="V115" s="232">
        <f t="shared" si="6"/>
        <v>10522</v>
      </c>
      <c r="W115" s="232">
        <f t="shared" si="7"/>
        <v>12453.6</v>
      </c>
      <c r="X115" s="233">
        <f t="shared" si="8"/>
        <v>9299</v>
      </c>
      <c r="Y115" s="232">
        <f t="shared" si="9"/>
        <v>11475.2</v>
      </c>
    </row>
    <row r="116" ht="22.5" customHeight="1">
      <c r="O116" s="230">
        <v>11.4</v>
      </c>
      <c r="P116" s="230">
        <f t="shared" si="1"/>
        <v>20340</v>
      </c>
      <c r="Q116" s="231">
        <f t="shared" si="2"/>
        <v>9743</v>
      </c>
      <c r="R116" s="231">
        <f t="shared" si="3"/>
        <v>10966</v>
      </c>
      <c r="S116" s="231">
        <f t="shared" si="4"/>
        <v>7794.4</v>
      </c>
      <c r="T116" s="231">
        <f t="shared" si="5"/>
        <v>8772.8</v>
      </c>
      <c r="V116" s="232">
        <f t="shared" si="6"/>
        <v>10597</v>
      </c>
      <c r="W116" s="232">
        <f t="shared" si="7"/>
        <v>12545.6</v>
      </c>
      <c r="X116" s="233">
        <f t="shared" si="8"/>
        <v>9374</v>
      </c>
      <c r="Y116" s="232">
        <f t="shared" si="9"/>
        <v>11567.2</v>
      </c>
    </row>
    <row r="117" ht="22.5" customHeight="1">
      <c r="O117" s="230">
        <v>11.5</v>
      </c>
      <c r="P117" s="230">
        <f t="shared" si="1"/>
        <v>20500</v>
      </c>
      <c r="Q117" s="231">
        <f t="shared" si="2"/>
        <v>9828</v>
      </c>
      <c r="R117" s="231">
        <f t="shared" si="3"/>
        <v>11051</v>
      </c>
      <c r="S117" s="231">
        <f t="shared" si="4"/>
        <v>7862.4</v>
      </c>
      <c r="T117" s="231">
        <f t="shared" si="5"/>
        <v>8840.8</v>
      </c>
      <c r="V117" s="232">
        <f t="shared" si="6"/>
        <v>10672</v>
      </c>
      <c r="W117" s="232">
        <f t="shared" si="7"/>
        <v>12637.6</v>
      </c>
      <c r="X117" s="233">
        <f t="shared" si="8"/>
        <v>9449</v>
      </c>
      <c r="Y117" s="232">
        <f t="shared" si="9"/>
        <v>11659.2</v>
      </c>
    </row>
    <row r="118" ht="22.5" customHeight="1">
      <c r="O118" s="230">
        <v>11.6</v>
      </c>
      <c r="P118" s="230">
        <f t="shared" si="1"/>
        <v>20660</v>
      </c>
      <c r="Q118" s="231">
        <f t="shared" si="2"/>
        <v>9913</v>
      </c>
      <c r="R118" s="231">
        <f t="shared" si="3"/>
        <v>11136</v>
      </c>
      <c r="S118" s="231">
        <f t="shared" si="4"/>
        <v>7930.4</v>
      </c>
      <c r="T118" s="231">
        <f t="shared" si="5"/>
        <v>8908.8</v>
      </c>
      <c r="V118" s="232">
        <f t="shared" si="6"/>
        <v>10747</v>
      </c>
      <c r="W118" s="232">
        <f t="shared" si="7"/>
        <v>12729.6</v>
      </c>
      <c r="X118" s="233">
        <f t="shared" si="8"/>
        <v>9524</v>
      </c>
      <c r="Y118" s="232">
        <f t="shared" si="9"/>
        <v>11751.2</v>
      </c>
    </row>
    <row r="119" ht="22.5" customHeight="1">
      <c r="O119" s="230">
        <v>11.7</v>
      </c>
      <c r="P119" s="230">
        <f t="shared" si="1"/>
        <v>20820</v>
      </c>
      <c r="Q119" s="231">
        <f t="shared" si="2"/>
        <v>9998</v>
      </c>
      <c r="R119" s="231">
        <f t="shared" si="3"/>
        <v>11221</v>
      </c>
      <c r="S119" s="231">
        <f t="shared" si="4"/>
        <v>7998.4</v>
      </c>
      <c r="T119" s="231">
        <f t="shared" si="5"/>
        <v>8976.8</v>
      </c>
      <c r="V119" s="232">
        <f t="shared" si="6"/>
        <v>10822</v>
      </c>
      <c r="W119" s="232">
        <f t="shared" si="7"/>
        <v>12821.6</v>
      </c>
      <c r="X119" s="233">
        <f t="shared" si="8"/>
        <v>9599</v>
      </c>
      <c r="Y119" s="232">
        <f t="shared" si="9"/>
        <v>11843.2</v>
      </c>
    </row>
    <row r="120" ht="22.5" customHeight="1">
      <c r="O120" s="230">
        <v>11.8</v>
      </c>
      <c r="P120" s="230">
        <f t="shared" si="1"/>
        <v>20980</v>
      </c>
      <c r="Q120" s="231">
        <f t="shared" si="2"/>
        <v>10083</v>
      </c>
      <c r="R120" s="231">
        <f t="shared" si="3"/>
        <v>11306</v>
      </c>
      <c r="S120" s="231">
        <f t="shared" si="4"/>
        <v>8066.4</v>
      </c>
      <c r="T120" s="231">
        <f t="shared" si="5"/>
        <v>9044.8</v>
      </c>
      <c r="V120" s="232">
        <f t="shared" si="6"/>
        <v>10897</v>
      </c>
      <c r="W120" s="232">
        <f t="shared" si="7"/>
        <v>12913.6</v>
      </c>
      <c r="X120" s="233">
        <f t="shared" si="8"/>
        <v>9674</v>
      </c>
      <c r="Y120" s="232">
        <f t="shared" si="9"/>
        <v>11935.2</v>
      </c>
    </row>
    <row r="121" ht="22.5" customHeight="1">
      <c r="O121" s="230">
        <v>11.9</v>
      </c>
      <c r="P121" s="230">
        <f t="shared" si="1"/>
        <v>21140</v>
      </c>
      <c r="Q121" s="231">
        <f t="shared" si="2"/>
        <v>10168</v>
      </c>
      <c r="R121" s="231">
        <f t="shared" si="3"/>
        <v>11391</v>
      </c>
      <c r="S121" s="231">
        <f t="shared" si="4"/>
        <v>8134.4</v>
      </c>
      <c r="T121" s="231">
        <f t="shared" si="5"/>
        <v>9112.8</v>
      </c>
      <c r="V121" s="232">
        <f t="shared" si="6"/>
        <v>10972</v>
      </c>
      <c r="W121" s="232">
        <f t="shared" si="7"/>
        <v>13005.6</v>
      </c>
      <c r="X121" s="233">
        <f t="shared" si="8"/>
        <v>9749</v>
      </c>
      <c r="Y121" s="232">
        <f t="shared" si="9"/>
        <v>12027.2</v>
      </c>
    </row>
    <row r="122" ht="22.5" customHeight="1">
      <c r="O122" s="230">
        <v>12.0</v>
      </c>
      <c r="P122" s="230">
        <f t="shared" si="1"/>
        <v>21300</v>
      </c>
      <c r="Q122" s="231">
        <f t="shared" si="2"/>
        <v>10253</v>
      </c>
      <c r="R122" s="231">
        <f t="shared" si="3"/>
        <v>11476</v>
      </c>
      <c r="S122" s="231">
        <f t="shared" si="4"/>
        <v>8202.4</v>
      </c>
      <c r="T122" s="231">
        <f t="shared" si="5"/>
        <v>9180.8</v>
      </c>
      <c r="V122" s="232">
        <f t="shared" si="6"/>
        <v>11047</v>
      </c>
      <c r="W122" s="232">
        <f t="shared" si="7"/>
        <v>13097.6</v>
      </c>
      <c r="X122" s="233">
        <f t="shared" si="8"/>
        <v>9824</v>
      </c>
      <c r="Y122" s="232">
        <f t="shared" si="9"/>
        <v>12119.2</v>
      </c>
    </row>
    <row r="123" ht="22.5" customHeight="1">
      <c r="O123" s="230">
        <v>12.1</v>
      </c>
      <c r="P123" s="230">
        <f t="shared" si="1"/>
        <v>21460</v>
      </c>
      <c r="Q123" s="231">
        <f t="shared" si="2"/>
        <v>10338</v>
      </c>
      <c r="R123" s="231">
        <f t="shared" si="3"/>
        <v>11561</v>
      </c>
      <c r="S123" s="231">
        <f t="shared" si="4"/>
        <v>8270.4</v>
      </c>
      <c r="T123" s="231">
        <f t="shared" si="5"/>
        <v>9248.8</v>
      </c>
      <c r="V123" s="232">
        <f t="shared" si="6"/>
        <v>11122</v>
      </c>
      <c r="W123" s="232">
        <f t="shared" si="7"/>
        <v>13189.6</v>
      </c>
      <c r="X123" s="233">
        <f t="shared" si="8"/>
        <v>9899</v>
      </c>
      <c r="Y123" s="232">
        <f t="shared" si="9"/>
        <v>12211.2</v>
      </c>
    </row>
    <row r="124" ht="22.5" customHeight="1">
      <c r="O124" s="230">
        <v>12.2</v>
      </c>
      <c r="P124" s="230">
        <f t="shared" si="1"/>
        <v>21620</v>
      </c>
      <c r="Q124" s="231">
        <f t="shared" si="2"/>
        <v>10423</v>
      </c>
      <c r="R124" s="231">
        <f t="shared" si="3"/>
        <v>11646</v>
      </c>
      <c r="S124" s="231">
        <f t="shared" si="4"/>
        <v>8338.4</v>
      </c>
      <c r="T124" s="231">
        <f t="shared" si="5"/>
        <v>9316.8</v>
      </c>
      <c r="V124" s="232">
        <f t="shared" si="6"/>
        <v>11197</v>
      </c>
      <c r="W124" s="232">
        <f t="shared" si="7"/>
        <v>13281.6</v>
      </c>
      <c r="X124" s="233">
        <f t="shared" si="8"/>
        <v>9974</v>
      </c>
      <c r="Y124" s="232">
        <f t="shared" si="9"/>
        <v>12303.2</v>
      </c>
    </row>
    <row r="125" ht="22.5" customHeight="1">
      <c r="O125" s="230">
        <v>12.3</v>
      </c>
      <c r="P125" s="230">
        <f t="shared" si="1"/>
        <v>21780</v>
      </c>
      <c r="Q125" s="231">
        <f t="shared" si="2"/>
        <v>10508</v>
      </c>
      <c r="R125" s="231">
        <f t="shared" si="3"/>
        <v>11731</v>
      </c>
      <c r="S125" s="231">
        <f t="shared" si="4"/>
        <v>8406.4</v>
      </c>
      <c r="T125" s="231">
        <f t="shared" si="5"/>
        <v>9384.8</v>
      </c>
      <c r="V125" s="232">
        <f t="shared" si="6"/>
        <v>11272</v>
      </c>
      <c r="W125" s="232">
        <f t="shared" si="7"/>
        <v>13373.6</v>
      </c>
      <c r="X125" s="233">
        <f t="shared" si="8"/>
        <v>10049</v>
      </c>
      <c r="Y125" s="232">
        <f t="shared" si="9"/>
        <v>12395.2</v>
      </c>
    </row>
    <row r="126" ht="22.5" customHeight="1">
      <c r="O126" s="230">
        <v>12.4</v>
      </c>
      <c r="P126" s="230">
        <f t="shared" si="1"/>
        <v>21940</v>
      </c>
      <c r="Q126" s="231">
        <f t="shared" si="2"/>
        <v>10593</v>
      </c>
      <c r="R126" s="231">
        <f t="shared" si="3"/>
        <v>11816</v>
      </c>
      <c r="S126" s="231">
        <f t="shared" si="4"/>
        <v>8474.4</v>
      </c>
      <c r="T126" s="231">
        <f t="shared" si="5"/>
        <v>9452.8</v>
      </c>
      <c r="V126" s="232">
        <f t="shared" si="6"/>
        <v>11347</v>
      </c>
      <c r="W126" s="232">
        <f t="shared" si="7"/>
        <v>13465.6</v>
      </c>
      <c r="X126" s="233">
        <f t="shared" si="8"/>
        <v>10124</v>
      </c>
      <c r="Y126" s="232">
        <f t="shared" si="9"/>
        <v>12487.2</v>
      </c>
    </row>
    <row r="127" ht="22.5" customHeight="1">
      <c r="O127" s="230">
        <v>12.5</v>
      </c>
      <c r="P127" s="230">
        <f t="shared" si="1"/>
        <v>22100</v>
      </c>
      <c r="Q127" s="231">
        <f t="shared" si="2"/>
        <v>10678</v>
      </c>
      <c r="R127" s="231">
        <f t="shared" si="3"/>
        <v>11901</v>
      </c>
      <c r="S127" s="231">
        <f t="shared" si="4"/>
        <v>8542.4</v>
      </c>
      <c r="T127" s="231">
        <f t="shared" si="5"/>
        <v>9520.8</v>
      </c>
      <c r="V127" s="232">
        <f t="shared" si="6"/>
        <v>11422</v>
      </c>
      <c r="W127" s="232">
        <f t="shared" si="7"/>
        <v>13557.6</v>
      </c>
      <c r="X127" s="233">
        <f t="shared" si="8"/>
        <v>10199</v>
      </c>
      <c r="Y127" s="232">
        <f t="shared" si="9"/>
        <v>12579.2</v>
      </c>
    </row>
    <row r="128" ht="22.5" customHeight="1">
      <c r="O128" s="230">
        <v>12.6</v>
      </c>
      <c r="P128" s="230">
        <f t="shared" si="1"/>
        <v>22260</v>
      </c>
      <c r="Q128" s="231">
        <f t="shared" si="2"/>
        <v>10763</v>
      </c>
      <c r="R128" s="231">
        <f t="shared" si="3"/>
        <v>11986</v>
      </c>
      <c r="S128" s="231">
        <f t="shared" si="4"/>
        <v>8610.4</v>
      </c>
      <c r="T128" s="231">
        <f t="shared" si="5"/>
        <v>9588.8</v>
      </c>
      <c r="V128" s="232">
        <f t="shared" si="6"/>
        <v>11497</v>
      </c>
      <c r="W128" s="232">
        <f t="shared" si="7"/>
        <v>13649.6</v>
      </c>
      <c r="X128" s="233">
        <f t="shared" si="8"/>
        <v>10274</v>
      </c>
      <c r="Y128" s="232">
        <f t="shared" si="9"/>
        <v>12671.2</v>
      </c>
    </row>
    <row r="129" ht="22.5" customHeight="1">
      <c r="O129" s="230">
        <v>12.7</v>
      </c>
      <c r="P129" s="230">
        <f t="shared" si="1"/>
        <v>22420</v>
      </c>
      <c r="Q129" s="231">
        <f t="shared" si="2"/>
        <v>10848</v>
      </c>
      <c r="R129" s="231">
        <f t="shared" si="3"/>
        <v>12071</v>
      </c>
      <c r="S129" s="231">
        <f t="shared" si="4"/>
        <v>8678.4</v>
      </c>
      <c r="T129" s="231">
        <f t="shared" si="5"/>
        <v>9656.8</v>
      </c>
      <c r="V129" s="232">
        <f t="shared" si="6"/>
        <v>11572</v>
      </c>
      <c r="W129" s="232">
        <f t="shared" si="7"/>
        <v>13741.6</v>
      </c>
      <c r="X129" s="233">
        <f t="shared" si="8"/>
        <v>10349</v>
      </c>
      <c r="Y129" s="232">
        <f t="shared" si="9"/>
        <v>12763.2</v>
      </c>
    </row>
    <row r="130" ht="22.5" customHeight="1">
      <c r="O130" s="230">
        <v>12.8</v>
      </c>
      <c r="P130" s="230">
        <f t="shared" si="1"/>
        <v>22580</v>
      </c>
      <c r="Q130" s="231">
        <f t="shared" si="2"/>
        <v>10933</v>
      </c>
      <c r="R130" s="231">
        <f t="shared" si="3"/>
        <v>12156</v>
      </c>
      <c r="S130" s="231">
        <f t="shared" si="4"/>
        <v>8746.4</v>
      </c>
      <c r="T130" s="231">
        <f t="shared" si="5"/>
        <v>9724.8</v>
      </c>
      <c r="V130" s="232">
        <f t="shared" si="6"/>
        <v>11647</v>
      </c>
      <c r="W130" s="232">
        <f t="shared" si="7"/>
        <v>13833.6</v>
      </c>
      <c r="X130" s="233">
        <f t="shared" si="8"/>
        <v>10424</v>
      </c>
      <c r="Y130" s="232">
        <f t="shared" si="9"/>
        <v>12855.2</v>
      </c>
    </row>
    <row r="131" ht="22.5" customHeight="1">
      <c r="O131" s="230">
        <v>12.9</v>
      </c>
      <c r="P131" s="230">
        <f t="shared" si="1"/>
        <v>22740</v>
      </c>
      <c r="Q131" s="231">
        <f t="shared" si="2"/>
        <v>11018</v>
      </c>
      <c r="R131" s="231">
        <f t="shared" si="3"/>
        <v>12241</v>
      </c>
      <c r="S131" s="231">
        <f t="shared" si="4"/>
        <v>8814.4</v>
      </c>
      <c r="T131" s="231">
        <f t="shared" si="5"/>
        <v>9792.8</v>
      </c>
      <c r="V131" s="232">
        <f t="shared" si="6"/>
        <v>11722</v>
      </c>
      <c r="W131" s="232">
        <f t="shared" si="7"/>
        <v>13925.6</v>
      </c>
      <c r="X131" s="233">
        <f t="shared" si="8"/>
        <v>10499</v>
      </c>
      <c r="Y131" s="232">
        <f t="shared" si="9"/>
        <v>12947.2</v>
      </c>
    </row>
    <row r="132" ht="22.5" customHeight="1">
      <c r="O132" s="230">
        <v>13.0</v>
      </c>
      <c r="P132" s="230">
        <f t="shared" si="1"/>
        <v>22900</v>
      </c>
      <c r="Q132" s="231">
        <f t="shared" si="2"/>
        <v>11103</v>
      </c>
      <c r="R132" s="231">
        <f t="shared" si="3"/>
        <v>12326</v>
      </c>
      <c r="S132" s="231">
        <f t="shared" si="4"/>
        <v>8882.4</v>
      </c>
      <c r="T132" s="231">
        <f t="shared" si="5"/>
        <v>9860.8</v>
      </c>
      <c r="V132" s="232">
        <f t="shared" si="6"/>
        <v>11797</v>
      </c>
      <c r="W132" s="232">
        <f t="shared" si="7"/>
        <v>14017.6</v>
      </c>
      <c r="X132" s="233">
        <f t="shared" si="8"/>
        <v>10574</v>
      </c>
      <c r="Y132" s="232">
        <f t="shared" si="9"/>
        <v>13039.2</v>
      </c>
    </row>
    <row r="133" ht="22.5" customHeight="1">
      <c r="O133" s="230">
        <v>13.1</v>
      </c>
      <c r="P133" s="230">
        <f t="shared" si="1"/>
        <v>23060</v>
      </c>
      <c r="Q133" s="231">
        <f t="shared" si="2"/>
        <v>11188</v>
      </c>
      <c r="R133" s="231">
        <f t="shared" si="3"/>
        <v>12411</v>
      </c>
      <c r="S133" s="231">
        <f t="shared" si="4"/>
        <v>8950.4</v>
      </c>
      <c r="T133" s="231">
        <f t="shared" si="5"/>
        <v>9928.8</v>
      </c>
      <c r="V133" s="232">
        <f t="shared" si="6"/>
        <v>11872</v>
      </c>
      <c r="W133" s="232">
        <f t="shared" si="7"/>
        <v>14109.6</v>
      </c>
      <c r="X133" s="233">
        <f t="shared" si="8"/>
        <v>10649</v>
      </c>
      <c r="Y133" s="232">
        <f t="shared" si="9"/>
        <v>13131.2</v>
      </c>
    </row>
    <row r="134" ht="22.5" customHeight="1">
      <c r="O134" s="230">
        <v>13.2</v>
      </c>
      <c r="P134" s="230">
        <f t="shared" si="1"/>
        <v>23220</v>
      </c>
      <c r="Q134" s="231">
        <f t="shared" si="2"/>
        <v>11273</v>
      </c>
      <c r="R134" s="231">
        <f t="shared" si="3"/>
        <v>12496</v>
      </c>
      <c r="S134" s="231">
        <f t="shared" si="4"/>
        <v>9018.4</v>
      </c>
      <c r="T134" s="231">
        <f t="shared" si="5"/>
        <v>9996.8</v>
      </c>
      <c r="V134" s="232">
        <f t="shared" si="6"/>
        <v>11947</v>
      </c>
      <c r="W134" s="232">
        <f t="shared" si="7"/>
        <v>14201.6</v>
      </c>
      <c r="X134" s="233">
        <f t="shared" si="8"/>
        <v>10724</v>
      </c>
      <c r="Y134" s="232">
        <f t="shared" si="9"/>
        <v>13223.2</v>
      </c>
    </row>
    <row r="135" ht="22.5" customHeight="1">
      <c r="O135" s="230">
        <v>13.3</v>
      </c>
      <c r="P135" s="230">
        <f t="shared" si="1"/>
        <v>23380</v>
      </c>
      <c r="Q135" s="231">
        <f t="shared" si="2"/>
        <v>11358</v>
      </c>
      <c r="R135" s="231">
        <f t="shared" si="3"/>
        <v>12581</v>
      </c>
      <c r="S135" s="231">
        <f t="shared" si="4"/>
        <v>9086.4</v>
      </c>
      <c r="T135" s="231">
        <f t="shared" si="5"/>
        <v>10064.8</v>
      </c>
      <c r="V135" s="232">
        <f t="shared" si="6"/>
        <v>12022</v>
      </c>
      <c r="W135" s="232">
        <f t="shared" si="7"/>
        <v>14293.6</v>
      </c>
      <c r="X135" s="233">
        <f t="shared" si="8"/>
        <v>10799</v>
      </c>
      <c r="Y135" s="232">
        <f t="shared" si="9"/>
        <v>13315.2</v>
      </c>
    </row>
    <row r="136" ht="22.5" customHeight="1">
      <c r="O136" s="230">
        <v>13.4</v>
      </c>
      <c r="P136" s="230">
        <f t="shared" si="1"/>
        <v>23540</v>
      </c>
      <c r="Q136" s="231">
        <f t="shared" si="2"/>
        <v>11443</v>
      </c>
      <c r="R136" s="231">
        <f t="shared" si="3"/>
        <v>12666</v>
      </c>
      <c r="S136" s="231">
        <f t="shared" si="4"/>
        <v>9154.4</v>
      </c>
      <c r="T136" s="231">
        <f t="shared" si="5"/>
        <v>10132.8</v>
      </c>
      <c r="V136" s="232">
        <f t="shared" si="6"/>
        <v>12097</v>
      </c>
      <c r="W136" s="232">
        <f t="shared" si="7"/>
        <v>14385.6</v>
      </c>
      <c r="X136" s="233">
        <f t="shared" si="8"/>
        <v>10874</v>
      </c>
      <c r="Y136" s="232">
        <f t="shared" si="9"/>
        <v>13407.2</v>
      </c>
    </row>
    <row r="137" ht="22.5" customHeight="1">
      <c r="O137" s="230">
        <v>13.5</v>
      </c>
      <c r="P137" s="230">
        <f t="shared" si="1"/>
        <v>23700</v>
      </c>
      <c r="Q137" s="231">
        <f t="shared" si="2"/>
        <v>11528</v>
      </c>
      <c r="R137" s="231">
        <f t="shared" si="3"/>
        <v>12751</v>
      </c>
      <c r="S137" s="231">
        <f t="shared" si="4"/>
        <v>9222.4</v>
      </c>
      <c r="T137" s="231">
        <f t="shared" si="5"/>
        <v>10200.8</v>
      </c>
      <c r="V137" s="232">
        <f t="shared" si="6"/>
        <v>12172</v>
      </c>
      <c r="W137" s="232">
        <f t="shared" si="7"/>
        <v>14477.6</v>
      </c>
      <c r="X137" s="233">
        <f t="shared" si="8"/>
        <v>10949</v>
      </c>
      <c r="Y137" s="232">
        <f t="shared" si="9"/>
        <v>13499.2</v>
      </c>
    </row>
    <row r="138" ht="22.5" customHeight="1">
      <c r="O138" s="230">
        <v>13.6</v>
      </c>
      <c r="P138" s="230">
        <f t="shared" si="1"/>
        <v>23860</v>
      </c>
      <c r="Q138" s="231">
        <f t="shared" si="2"/>
        <v>11613</v>
      </c>
      <c r="R138" s="231">
        <f t="shared" si="3"/>
        <v>12836</v>
      </c>
      <c r="S138" s="231">
        <f t="shared" si="4"/>
        <v>9290.4</v>
      </c>
      <c r="T138" s="231">
        <f t="shared" si="5"/>
        <v>10268.8</v>
      </c>
      <c r="V138" s="232">
        <f t="shared" si="6"/>
        <v>12247</v>
      </c>
      <c r="W138" s="232">
        <f t="shared" si="7"/>
        <v>14569.6</v>
      </c>
      <c r="X138" s="233">
        <f t="shared" si="8"/>
        <v>11024</v>
      </c>
      <c r="Y138" s="232">
        <f t="shared" si="9"/>
        <v>13591.2</v>
      </c>
    </row>
    <row r="139" ht="22.5" customHeight="1">
      <c r="O139" s="230">
        <v>13.7</v>
      </c>
      <c r="P139" s="230">
        <f t="shared" si="1"/>
        <v>24020</v>
      </c>
      <c r="Q139" s="231">
        <f t="shared" si="2"/>
        <v>11698</v>
      </c>
      <c r="R139" s="231">
        <f t="shared" si="3"/>
        <v>12921</v>
      </c>
      <c r="S139" s="231">
        <f t="shared" si="4"/>
        <v>9358.4</v>
      </c>
      <c r="T139" s="231">
        <f t="shared" si="5"/>
        <v>10336.8</v>
      </c>
      <c r="V139" s="232">
        <f t="shared" si="6"/>
        <v>12322</v>
      </c>
      <c r="W139" s="232">
        <f t="shared" si="7"/>
        <v>14661.6</v>
      </c>
      <c r="X139" s="233">
        <f t="shared" si="8"/>
        <v>11099</v>
      </c>
      <c r="Y139" s="232">
        <f t="shared" si="9"/>
        <v>13683.2</v>
      </c>
    </row>
    <row r="140" ht="22.5" customHeight="1">
      <c r="O140" s="230">
        <v>13.8</v>
      </c>
      <c r="P140" s="230">
        <f t="shared" si="1"/>
        <v>24180</v>
      </c>
      <c r="Q140" s="231">
        <f t="shared" si="2"/>
        <v>11783</v>
      </c>
      <c r="R140" s="231">
        <f t="shared" si="3"/>
        <v>13006</v>
      </c>
      <c r="S140" s="231">
        <f t="shared" si="4"/>
        <v>9426.4</v>
      </c>
      <c r="T140" s="231">
        <f t="shared" si="5"/>
        <v>10404.8</v>
      </c>
      <c r="V140" s="232">
        <f t="shared" si="6"/>
        <v>12397</v>
      </c>
      <c r="W140" s="232">
        <f t="shared" si="7"/>
        <v>14753.6</v>
      </c>
      <c r="X140" s="233">
        <f t="shared" si="8"/>
        <v>11174</v>
      </c>
      <c r="Y140" s="232">
        <f t="shared" si="9"/>
        <v>13775.2</v>
      </c>
    </row>
    <row r="141" ht="22.5" customHeight="1">
      <c r="O141" s="230">
        <v>13.9</v>
      </c>
      <c r="P141" s="230">
        <f t="shared" si="1"/>
        <v>24340</v>
      </c>
      <c r="Q141" s="231">
        <f t="shared" si="2"/>
        <v>11868</v>
      </c>
      <c r="R141" s="231">
        <f t="shared" si="3"/>
        <v>13091</v>
      </c>
      <c r="S141" s="231">
        <f t="shared" si="4"/>
        <v>9494.4</v>
      </c>
      <c r="T141" s="231">
        <f t="shared" si="5"/>
        <v>10472.8</v>
      </c>
      <c r="V141" s="232">
        <f t="shared" si="6"/>
        <v>12472</v>
      </c>
      <c r="W141" s="232">
        <f t="shared" si="7"/>
        <v>14845.6</v>
      </c>
      <c r="X141" s="233">
        <f t="shared" si="8"/>
        <v>11249</v>
      </c>
      <c r="Y141" s="232">
        <f t="shared" si="9"/>
        <v>13867.2</v>
      </c>
    </row>
    <row r="142" ht="22.5" customHeight="1">
      <c r="O142" s="230">
        <v>14.0</v>
      </c>
      <c r="P142" s="230">
        <f t="shared" si="1"/>
        <v>24500</v>
      </c>
      <c r="Q142" s="231">
        <f t="shared" si="2"/>
        <v>11953</v>
      </c>
      <c r="R142" s="231">
        <f t="shared" si="3"/>
        <v>13176</v>
      </c>
      <c r="S142" s="231">
        <f t="shared" si="4"/>
        <v>9562.4</v>
      </c>
      <c r="T142" s="231">
        <f t="shared" si="5"/>
        <v>10540.8</v>
      </c>
      <c r="V142" s="232">
        <f t="shared" si="6"/>
        <v>12547</v>
      </c>
      <c r="W142" s="232">
        <f t="shared" si="7"/>
        <v>14937.6</v>
      </c>
      <c r="X142" s="233">
        <f t="shared" si="8"/>
        <v>11324</v>
      </c>
      <c r="Y142" s="232">
        <f t="shared" si="9"/>
        <v>13959.2</v>
      </c>
    </row>
    <row r="143" ht="22.5" customHeight="1">
      <c r="O143" s="230">
        <v>14.1</v>
      </c>
      <c r="P143" s="230">
        <f t="shared" si="1"/>
        <v>24660</v>
      </c>
      <c r="Q143" s="231">
        <f t="shared" si="2"/>
        <v>12038</v>
      </c>
      <c r="R143" s="231">
        <f t="shared" si="3"/>
        <v>13261</v>
      </c>
      <c r="S143" s="231">
        <f t="shared" si="4"/>
        <v>9630.4</v>
      </c>
      <c r="T143" s="231">
        <f t="shared" si="5"/>
        <v>10608.8</v>
      </c>
      <c r="V143" s="232">
        <f t="shared" si="6"/>
        <v>12622</v>
      </c>
      <c r="W143" s="232">
        <f t="shared" si="7"/>
        <v>15029.6</v>
      </c>
      <c r="X143" s="233">
        <f t="shared" si="8"/>
        <v>11399</v>
      </c>
      <c r="Y143" s="232">
        <f t="shared" si="9"/>
        <v>14051.2</v>
      </c>
    </row>
    <row r="144" ht="22.5" customHeight="1">
      <c r="O144" s="230">
        <v>14.2</v>
      </c>
      <c r="P144" s="230">
        <f t="shared" si="1"/>
        <v>24820</v>
      </c>
      <c r="Q144" s="231">
        <f t="shared" si="2"/>
        <v>12123</v>
      </c>
      <c r="R144" s="231">
        <f t="shared" si="3"/>
        <v>13346</v>
      </c>
      <c r="S144" s="231">
        <f t="shared" si="4"/>
        <v>9698.4</v>
      </c>
      <c r="T144" s="231">
        <f t="shared" si="5"/>
        <v>10676.8</v>
      </c>
      <c r="V144" s="232">
        <f t="shared" si="6"/>
        <v>12697</v>
      </c>
      <c r="W144" s="232">
        <f t="shared" si="7"/>
        <v>15121.6</v>
      </c>
      <c r="X144" s="233">
        <f t="shared" si="8"/>
        <v>11474</v>
      </c>
      <c r="Y144" s="232">
        <f t="shared" si="9"/>
        <v>14143.2</v>
      </c>
    </row>
    <row r="145" ht="22.5" customHeight="1">
      <c r="O145" s="230">
        <v>14.3</v>
      </c>
      <c r="P145" s="230">
        <f t="shared" si="1"/>
        <v>24980</v>
      </c>
      <c r="Q145" s="231">
        <f t="shared" si="2"/>
        <v>12208</v>
      </c>
      <c r="R145" s="231">
        <f t="shared" si="3"/>
        <v>13431</v>
      </c>
      <c r="S145" s="231">
        <f t="shared" si="4"/>
        <v>9766.4</v>
      </c>
      <c r="T145" s="231">
        <f t="shared" si="5"/>
        <v>10744.8</v>
      </c>
      <c r="V145" s="232">
        <f t="shared" si="6"/>
        <v>12772</v>
      </c>
      <c r="W145" s="232">
        <f t="shared" si="7"/>
        <v>15213.6</v>
      </c>
      <c r="X145" s="233">
        <f t="shared" si="8"/>
        <v>11549</v>
      </c>
      <c r="Y145" s="232">
        <f t="shared" si="9"/>
        <v>14235.2</v>
      </c>
    </row>
    <row r="146" ht="22.5" customHeight="1">
      <c r="O146" s="230">
        <v>14.4</v>
      </c>
      <c r="P146" s="230">
        <f t="shared" si="1"/>
        <v>25140</v>
      </c>
      <c r="Q146" s="231">
        <f t="shared" si="2"/>
        <v>12293</v>
      </c>
      <c r="R146" s="231">
        <f t="shared" si="3"/>
        <v>13516</v>
      </c>
      <c r="S146" s="231">
        <f t="shared" si="4"/>
        <v>9834.4</v>
      </c>
      <c r="T146" s="231">
        <f t="shared" si="5"/>
        <v>10812.8</v>
      </c>
      <c r="V146" s="232">
        <f t="shared" si="6"/>
        <v>12847</v>
      </c>
      <c r="W146" s="232">
        <f t="shared" si="7"/>
        <v>15305.6</v>
      </c>
      <c r="X146" s="233">
        <f t="shared" si="8"/>
        <v>11624</v>
      </c>
      <c r="Y146" s="232">
        <f t="shared" si="9"/>
        <v>14327.2</v>
      </c>
    </row>
    <row r="147" ht="22.5" customHeight="1">
      <c r="O147" s="230">
        <v>14.5</v>
      </c>
      <c r="P147" s="230">
        <f t="shared" si="1"/>
        <v>25300</v>
      </c>
      <c r="Q147" s="231">
        <f t="shared" si="2"/>
        <v>12378</v>
      </c>
      <c r="R147" s="231">
        <f t="shared" si="3"/>
        <v>13601</v>
      </c>
      <c r="S147" s="231">
        <f t="shared" si="4"/>
        <v>9902.4</v>
      </c>
      <c r="T147" s="231">
        <f t="shared" si="5"/>
        <v>10880.8</v>
      </c>
      <c r="V147" s="232">
        <f t="shared" si="6"/>
        <v>12922</v>
      </c>
      <c r="W147" s="232">
        <f t="shared" si="7"/>
        <v>15397.6</v>
      </c>
      <c r="X147" s="233">
        <f t="shared" si="8"/>
        <v>11699</v>
      </c>
      <c r="Y147" s="232">
        <f t="shared" si="9"/>
        <v>14419.2</v>
      </c>
    </row>
    <row r="148" ht="22.5" customHeight="1">
      <c r="O148" s="230">
        <v>14.6</v>
      </c>
      <c r="P148" s="230">
        <f t="shared" si="1"/>
        <v>25460</v>
      </c>
      <c r="Q148" s="231">
        <f t="shared" si="2"/>
        <v>12463</v>
      </c>
      <c r="R148" s="231">
        <f t="shared" si="3"/>
        <v>13686</v>
      </c>
      <c r="S148" s="231">
        <f t="shared" si="4"/>
        <v>9970.4</v>
      </c>
      <c r="T148" s="231">
        <f t="shared" si="5"/>
        <v>10948.8</v>
      </c>
      <c r="V148" s="232">
        <f t="shared" si="6"/>
        <v>12997</v>
      </c>
      <c r="W148" s="232">
        <f t="shared" si="7"/>
        <v>15489.6</v>
      </c>
      <c r="X148" s="233">
        <f t="shared" si="8"/>
        <v>11774</v>
      </c>
      <c r="Y148" s="232">
        <f t="shared" si="9"/>
        <v>14511.2</v>
      </c>
    </row>
    <row r="149" ht="22.5" customHeight="1">
      <c r="O149" s="230">
        <v>14.7</v>
      </c>
      <c r="P149" s="230">
        <f t="shared" si="1"/>
        <v>25620</v>
      </c>
      <c r="Q149" s="231">
        <f t="shared" si="2"/>
        <v>12548</v>
      </c>
      <c r="R149" s="231">
        <f t="shared" si="3"/>
        <v>13771</v>
      </c>
      <c r="S149" s="231">
        <f t="shared" si="4"/>
        <v>10038.4</v>
      </c>
      <c r="T149" s="231">
        <f t="shared" si="5"/>
        <v>11016.8</v>
      </c>
      <c r="V149" s="232">
        <f t="shared" si="6"/>
        <v>13072</v>
      </c>
      <c r="W149" s="232">
        <f t="shared" si="7"/>
        <v>15581.6</v>
      </c>
      <c r="X149" s="233">
        <f t="shared" si="8"/>
        <v>11849</v>
      </c>
      <c r="Y149" s="232">
        <f t="shared" si="9"/>
        <v>14603.2</v>
      </c>
    </row>
    <row r="150" ht="22.5" customHeight="1">
      <c r="O150" s="230">
        <v>14.8</v>
      </c>
      <c r="P150" s="230">
        <f t="shared" si="1"/>
        <v>25780</v>
      </c>
      <c r="Q150" s="231">
        <f t="shared" si="2"/>
        <v>12633</v>
      </c>
      <c r="R150" s="231">
        <f t="shared" si="3"/>
        <v>13856</v>
      </c>
      <c r="S150" s="231">
        <f t="shared" si="4"/>
        <v>10106.4</v>
      </c>
      <c r="T150" s="231">
        <f t="shared" si="5"/>
        <v>11084.8</v>
      </c>
      <c r="V150" s="232">
        <f t="shared" si="6"/>
        <v>13147</v>
      </c>
      <c r="W150" s="232">
        <f t="shared" si="7"/>
        <v>15673.6</v>
      </c>
      <c r="X150" s="233">
        <f t="shared" si="8"/>
        <v>11924</v>
      </c>
      <c r="Y150" s="232">
        <f t="shared" si="9"/>
        <v>14695.2</v>
      </c>
    </row>
    <row r="151" ht="22.5" customHeight="1">
      <c r="O151" s="230">
        <v>14.9</v>
      </c>
      <c r="P151" s="230">
        <f t="shared" si="1"/>
        <v>25940</v>
      </c>
      <c r="Q151" s="231">
        <f t="shared" si="2"/>
        <v>12718</v>
      </c>
      <c r="R151" s="231">
        <f t="shared" si="3"/>
        <v>13941</v>
      </c>
      <c r="S151" s="231">
        <f t="shared" si="4"/>
        <v>10174.4</v>
      </c>
      <c r="T151" s="231">
        <f t="shared" si="5"/>
        <v>11152.8</v>
      </c>
      <c r="V151" s="232">
        <f t="shared" si="6"/>
        <v>13222</v>
      </c>
      <c r="W151" s="232">
        <f t="shared" si="7"/>
        <v>15765.6</v>
      </c>
      <c r="X151" s="233">
        <f t="shared" si="8"/>
        <v>11999</v>
      </c>
      <c r="Y151" s="232">
        <f t="shared" si="9"/>
        <v>14787.2</v>
      </c>
    </row>
    <row r="152" ht="22.5" customHeight="1">
      <c r="O152" s="230">
        <v>15.0</v>
      </c>
      <c r="P152" s="230">
        <f t="shared" si="1"/>
        <v>26100</v>
      </c>
      <c r="Q152" s="231">
        <f t="shared" si="2"/>
        <v>12803</v>
      </c>
      <c r="R152" s="231">
        <f t="shared" si="3"/>
        <v>14026</v>
      </c>
      <c r="S152" s="231">
        <f t="shared" si="4"/>
        <v>10242.4</v>
      </c>
      <c r="T152" s="231">
        <f t="shared" si="5"/>
        <v>11220.8</v>
      </c>
      <c r="V152" s="232">
        <f t="shared" si="6"/>
        <v>13297</v>
      </c>
      <c r="W152" s="232">
        <f t="shared" si="7"/>
        <v>15857.6</v>
      </c>
      <c r="X152" s="233">
        <f t="shared" si="8"/>
        <v>12074</v>
      </c>
      <c r="Y152" s="232">
        <f t="shared" si="9"/>
        <v>14879.2</v>
      </c>
    </row>
  </sheetData>
  <dataValidations>
    <dataValidation type="custom" allowBlank="1" showDropDown="1" sqref="O2:T152">
      <formula1>AND(ISNUMBER(O2),(NOT(OR(NOT(ISERROR(DATEVALUE(O2))), AND(ISNUMBER(O2), LEFT(CELL("format", O2))="D")))))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35.38"/>
    <col customWidth="1" min="5" max="5" width="13.25"/>
    <col customWidth="1" min="6" max="6" width="12.75"/>
    <col customWidth="1" min="7" max="7" width="13.13"/>
    <col customWidth="1" min="8" max="8" width="15.25"/>
    <col customWidth="1" min="9" max="9" width="13.5"/>
    <col customWidth="1" min="13" max="13" width="16.38"/>
    <col customWidth="1" min="15" max="15" width="13.75"/>
    <col customWidth="1" min="16" max="16" width="19.13"/>
    <col customWidth="1" min="17" max="17" width="17.0"/>
  </cols>
  <sheetData>
    <row r="1" ht="22.5" customHeight="1">
      <c r="A1" s="234" t="s">
        <v>301</v>
      </c>
      <c r="B1" s="234" t="s">
        <v>15</v>
      </c>
      <c r="C1" s="234" t="s">
        <v>303</v>
      </c>
      <c r="D1" s="234" t="s">
        <v>33</v>
      </c>
      <c r="E1" s="235" t="s">
        <v>598</v>
      </c>
      <c r="F1" s="235" t="s">
        <v>599</v>
      </c>
      <c r="G1" s="235" t="s">
        <v>52</v>
      </c>
      <c r="H1" s="234" t="s">
        <v>58</v>
      </c>
      <c r="I1" s="234" t="s">
        <v>66</v>
      </c>
      <c r="J1" s="234" t="s">
        <v>308</v>
      </c>
      <c r="K1" s="234" t="s">
        <v>72</v>
      </c>
      <c r="L1" s="234" t="s">
        <v>81</v>
      </c>
      <c r="M1" s="235" t="s">
        <v>88</v>
      </c>
      <c r="N1" s="234" t="s">
        <v>105</v>
      </c>
      <c r="O1" s="234" t="s">
        <v>309</v>
      </c>
      <c r="P1" s="234" t="s">
        <v>113</v>
      </c>
      <c r="Q1" s="234" t="s">
        <v>120</v>
      </c>
      <c r="R1" s="235" t="s">
        <v>127</v>
      </c>
      <c r="S1" s="235" t="s">
        <v>134</v>
      </c>
    </row>
    <row r="2" ht="22.5" customHeight="1" collapsed="1">
      <c r="A2" s="236" t="s">
        <v>311</v>
      </c>
      <c r="E2" s="237"/>
      <c r="F2" s="237"/>
      <c r="G2" s="237"/>
      <c r="M2" s="238"/>
      <c r="R2" s="239"/>
      <c r="S2" s="239"/>
    </row>
    <row r="3" ht="22.5" hidden="1" customHeight="1" outlineLevel="1">
      <c r="A3" s="240" t="s">
        <v>600</v>
      </c>
      <c r="B3" s="240">
        <v>22.0</v>
      </c>
      <c r="D3" s="240">
        <v>26.0</v>
      </c>
      <c r="E3" s="238">
        <v>0.02</v>
      </c>
      <c r="F3" s="237"/>
      <c r="G3" s="238">
        <v>0.02</v>
      </c>
      <c r="J3" s="240">
        <v>17.0</v>
      </c>
      <c r="M3" s="237"/>
      <c r="R3" s="239"/>
      <c r="S3" s="239"/>
    </row>
    <row r="4" ht="22.5" hidden="1" customHeight="1" outlineLevel="1">
      <c r="A4" s="240" t="s">
        <v>312</v>
      </c>
      <c r="B4" s="240">
        <v>19.0</v>
      </c>
      <c r="D4" s="240">
        <v>16.0</v>
      </c>
      <c r="E4" s="238">
        <v>0.02</v>
      </c>
      <c r="F4" s="238">
        <v>0.01</v>
      </c>
      <c r="G4" s="238">
        <v>0.01</v>
      </c>
      <c r="J4" s="240">
        <v>19.0</v>
      </c>
      <c r="M4" s="237"/>
      <c r="R4" s="239"/>
      <c r="S4" s="239"/>
    </row>
    <row r="5" ht="22.5" hidden="1" customHeight="1" outlineLevel="1">
      <c r="A5" s="240" t="s">
        <v>601</v>
      </c>
      <c r="D5" s="240">
        <v>24.0</v>
      </c>
      <c r="E5" s="237"/>
      <c r="F5" s="237"/>
      <c r="G5" s="237"/>
      <c r="J5" s="240">
        <v>15.0</v>
      </c>
      <c r="M5" s="237"/>
      <c r="O5" s="240">
        <v>18.0</v>
      </c>
      <c r="R5" s="239"/>
      <c r="S5" s="239"/>
    </row>
    <row r="6" ht="22.5" hidden="1" customHeight="1" outlineLevel="1">
      <c r="A6" s="241" t="s">
        <v>602</v>
      </c>
      <c r="B6" s="240">
        <v>15.0</v>
      </c>
      <c r="D6" s="240">
        <v>9.0</v>
      </c>
      <c r="E6" s="238">
        <v>0.02</v>
      </c>
      <c r="F6" s="238">
        <v>0.01</v>
      </c>
      <c r="G6" s="237"/>
      <c r="J6" s="240">
        <v>13.0</v>
      </c>
      <c r="M6" s="237"/>
      <c r="R6" s="239"/>
      <c r="S6" s="239"/>
    </row>
    <row r="7" ht="22.5" hidden="1" customHeight="1" outlineLevel="1">
      <c r="A7" s="241" t="s">
        <v>603</v>
      </c>
      <c r="C7" s="240">
        <v>44.0</v>
      </c>
      <c r="E7" s="238">
        <v>0.02</v>
      </c>
      <c r="F7" s="237"/>
      <c r="G7" s="237"/>
      <c r="J7" s="240">
        <v>9.0</v>
      </c>
      <c r="M7" s="237"/>
      <c r="R7" s="239"/>
      <c r="S7" s="239"/>
    </row>
    <row r="8" ht="22.5" hidden="1" customHeight="1" outlineLevel="1">
      <c r="A8" s="241" t="s">
        <v>604</v>
      </c>
      <c r="B8" s="240">
        <v>12.0</v>
      </c>
      <c r="D8" s="240">
        <v>20.0</v>
      </c>
      <c r="E8" s="238">
        <v>0.01</v>
      </c>
      <c r="F8" s="238">
        <v>0.01</v>
      </c>
      <c r="G8" s="237"/>
      <c r="J8" s="240">
        <v>11.0</v>
      </c>
      <c r="M8" s="237"/>
      <c r="R8" s="239"/>
      <c r="S8" s="239"/>
    </row>
    <row r="9" ht="22.5" hidden="1" customHeight="1" outlineLevel="1">
      <c r="A9" s="240" t="s">
        <v>605</v>
      </c>
      <c r="B9" s="240">
        <v>10.0</v>
      </c>
      <c r="D9" s="240">
        <v>15.0</v>
      </c>
      <c r="E9" s="238"/>
      <c r="F9" s="237"/>
      <c r="G9" s="238"/>
      <c r="J9" s="240"/>
      <c r="M9" s="237"/>
      <c r="R9" s="239"/>
      <c r="S9" s="239"/>
    </row>
    <row r="10" ht="22.5" hidden="1" customHeight="1" outlineLevel="1">
      <c r="A10" s="240" t="s">
        <v>606</v>
      </c>
      <c r="B10" s="240">
        <v>13.0</v>
      </c>
      <c r="E10" s="238">
        <v>0.02</v>
      </c>
      <c r="F10" s="237"/>
      <c r="G10" s="238">
        <v>0.01</v>
      </c>
      <c r="J10" s="240">
        <v>12.0</v>
      </c>
      <c r="M10" s="237"/>
      <c r="R10" s="239"/>
      <c r="S10" s="239"/>
    </row>
    <row r="11" ht="22.5" hidden="1" customHeight="1" outlineLevel="1">
      <c r="A11" s="240" t="s">
        <v>607</v>
      </c>
      <c r="B11" s="240">
        <v>15.0</v>
      </c>
      <c r="E11" s="238">
        <v>0.01</v>
      </c>
      <c r="F11" s="238">
        <v>0.01</v>
      </c>
      <c r="G11" s="237"/>
      <c r="M11" s="237"/>
      <c r="R11" s="239"/>
      <c r="S11" s="239"/>
    </row>
    <row r="12" ht="22.5" hidden="1" customHeight="1" outlineLevel="1">
      <c r="A12" s="240" t="s">
        <v>608</v>
      </c>
      <c r="B12" s="240">
        <v>13.0</v>
      </c>
      <c r="E12" s="238">
        <v>0.02</v>
      </c>
      <c r="F12" s="237"/>
      <c r="G12" s="237"/>
      <c r="M12" s="237"/>
      <c r="R12" s="239"/>
      <c r="S12" s="239"/>
    </row>
    <row r="13" ht="22.5" hidden="1" customHeight="1" outlineLevel="1">
      <c r="A13" s="242" t="s">
        <v>609</v>
      </c>
      <c r="E13" s="237"/>
      <c r="F13" s="237"/>
      <c r="G13" s="238">
        <v>0.01</v>
      </c>
      <c r="J13" s="240">
        <v>25.0</v>
      </c>
      <c r="M13" s="237"/>
      <c r="O13" s="240">
        <v>42.0</v>
      </c>
      <c r="R13" s="243">
        <v>0.02</v>
      </c>
      <c r="S13" s="239"/>
    </row>
    <row r="14" ht="22.5" hidden="1" customHeight="1" outlineLevel="1">
      <c r="A14" s="236"/>
      <c r="E14" s="237"/>
      <c r="F14" s="237"/>
      <c r="G14" s="237"/>
      <c r="M14" s="237"/>
      <c r="R14" s="239"/>
      <c r="S14" s="239"/>
    </row>
    <row r="15" ht="22.5" hidden="1" customHeight="1" outlineLevel="1">
      <c r="E15" s="237"/>
      <c r="F15" s="237"/>
      <c r="G15" s="237"/>
      <c r="M15" s="237"/>
      <c r="R15" s="239"/>
      <c r="S15" s="239"/>
    </row>
    <row r="16" ht="22.5" hidden="1" customHeight="1" outlineLevel="1">
      <c r="E16" s="237"/>
      <c r="F16" s="237"/>
      <c r="G16" s="237"/>
      <c r="M16" s="237"/>
      <c r="R16" s="239"/>
      <c r="S16" s="239"/>
    </row>
    <row r="17" ht="22.5" customHeight="1" collapsed="1">
      <c r="A17" s="244" t="s">
        <v>315</v>
      </c>
      <c r="E17" s="237"/>
      <c r="F17" s="237"/>
      <c r="G17" s="237"/>
      <c r="M17" s="237"/>
      <c r="R17" s="239"/>
      <c r="S17" s="239"/>
    </row>
    <row r="18" ht="22.5" hidden="1" customHeight="1" outlineLevel="1">
      <c r="A18" s="245" t="s">
        <v>610</v>
      </c>
      <c r="B18" s="240">
        <v>18.0</v>
      </c>
      <c r="D18" s="240">
        <v>16.0</v>
      </c>
      <c r="E18" s="238">
        <v>0.02</v>
      </c>
      <c r="F18" s="237"/>
      <c r="G18" s="237"/>
      <c r="M18" s="237"/>
      <c r="R18" s="239"/>
      <c r="S18" s="239"/>
    </row>
    <row r="19" ht="22.5" hidden="1" customHeight="1" outlineLevel="1">
      <c r="A19" s="245" t="s">
        <v>611</v>
      </c>
      <c r="D19" s="240">
        <v>15.0</v>
      </c>
      <c r="E19" s="237"/>
      <c r="F19" s="237"/>
      <c r="G19" s="238">
        <v>0.02</v>
      </c>
      <c r="M19" s="237"/>
      <c r="R19" s="239"/>
      <c r="S19" s="239"/>
    </row>
    <row r="20" ht="22.5" hidden="1" customHeight="1" outlineLevel="1">
      <c r="A20" s="245" t="s">
        <v>612</v>
      </c>
      <c r="C20" s="240">
        <v>26.0</v>
      </c>
      <c r="E20" s="238">
        <v>0.02</v>
      </c>
      <c r="F20" s="237"/>
      <c r="G20" s="237"/>
      <c r="M20" s="237"/>
      <c r="R20" s="239"/>
      <c r="S20" s="239"/>
    </row>
    <row r="21" ht="22.5" hidden="1" customHeight="1" outlineLevel="1">
      <c r="A21" s="245" t="s">
        <v>613</v>
      </c>
      <c r="C21" s="240">
        <v>44.0</v>
      </c>
      <c r="E21" s="238">
        <v>0.01</v>
      </c>
      <c r="F21" s="237"/>
      <c r="G21" s="237"/>
      <c r="M21" s="237"/>
      <c r="R21" s="239"/>
      <c r="S21" s="239"/>
    </row>
    <row r="22" ht="22.5" hidden="1" customHeight="1" outlineLevel="1">
      <c r="A22" s="245" t="s">
        <v>316</v>
      </c>
      <c r="C22" s="240">
        <v>40.0</v>
      </c>
      <c r="E22" s="238">
        <v>0.01</v>
      </c>
      <c r="F22" s="237"/>
      <c r="G22" s="237"/>
      <c r="M22" s="237"/>
      <c r="R22" s="239"/>
      <c r="S22" s="239"/>
    </row>
    <row r="23" ht="22.5" hidden="1" customHeight="1" outlineLevel="1">
      <c r="A23" s="246" t="s">
        <v>614</v>
      </c>
      <c r="D23" s="240">
        <v>14.0</v>
      </c>
      <c r="E23" s="238"/>
      <c r="F23" s="238"/>
      <c r="G23" s="237"/>
      <c r="M23" s="237"/>
      <c r="R23" s="239"/>
      <c r="S23" s="239"/>
    </row>
    <row r="24" ht="22.5" hidden="1" customHeight="1" outlineLevel="1">
      <c r="A24" s="245" t="s">
        <v>615</v>
      </c>
      <c r="D24" s="240">
        <v>12.0</v>
      </c>
      <c r="E24" s="238">
        <v>0.01</v>
      </c>
      <c r="F24" s="238">
        <v>0.01</v>
      </c>
      <c r="G24" s="237"/>
      <c r="M24" s="237"/>
      <c r="R24" s="239"/>
      <c r="S24" s="239"/>
    </row>
    <row r="25" ht="22.5" hidden="1" customHeight="1" outlineLevel="1">
      <c r="A25" s="246" t="s">
        <v>616</v>
      </c>
      <c r="B25" s="240">
        <v>9.0</v>
      </c>
      <c r="E25" s="237"/>
      <c r="F25" s="237"/>
      <c r="G25" s="237"/>
      <c r="M25" s="237"/>
      <c r="R25" s="239"/>
      <c r="S25" s="239"/>
    </row>
    <row r="26" ht="22.5" hidden="1" customHeight="1" outlineLevel="1">
      <c r="A26" s="240" t="s">
        <v>617</v>
      </c>
      <c r="C26" s="240">
        <v>26.0</v>
      </c>
      <c r="E26" s="238">
        <v>0.01</v>
      </c>
      <c r="F26" s="237"/>
      <c r="G26" s="237"/>
      <c r="M26" s="237"/>
      <c r="R26" s="239"/>
      <c r="S26" s="239"/>
    </row>
    <row r="27" ht="22.5" hidden="1" customHeight="1" outlineLevel="1">
      <c r="A27" s="240" t="s">
        <v>618</v>
      </c>
      <c r="B27" s="240">
        <v>10.0</v>
      </c>
      <c r="C27" s="240">
        <v>24.0</v>
      </c>
      <c r="E27" s="237"/>
      <c r="F27" s="237"/>
      <c r="G27" s="237"/>
      <c r="J27" s="240">
        <v>10.0</v>
      </c>
      <c r="M27" s="237"/>
      <c r="R27" s="239"/>
      <c r="S27" s="239"/>
    </row>
    <row r="28" ht="22.5" hidden="1" customHeight="1" outlineLevel="1">
      <c r="A28" s="240" t="s">
        <v>619</v>
      </c>
      <c r="D28" s="240">
        <v>15.0</v>
      </c>
      <c r="E28" s="237"/>
      <c r="F28" s="238">
        <v>0.01</v>
      </c>
      <c r="G28" s="237"/>
      <c r="M28" s="237"/>
      <c r="R28" s="239"/>
      <c r="S28" s="239"/>
    </row>
    <row r="29" ht="22.5" hidden="1" customHeight="1" outlineLevel="1">
      <c r="A29" s="240" t="s">
        <v>620</v>
      </c>
      <c r="E29" s="237"/>
      <c r="F29" s="237"/>
      <c r="G29" s="237"/>
      <c r="J29" s="240">
        <v>6.0</v>
      </c>
      <c r="K29" s="240">
        <v>6.0</v>
      </c>
      <c r="M29" s="237"/>
      <c r="O29" s="240">
        <v>28.0</v>
      </c>
      <c r="R29" s="243">
        <v>0.02</v>
      </c>
      <c r="S29" s="239"/>
    </row>
    <row r="30" ht="22.5" hidden="1" customHeight="1" outlineLevel="1">
      <c r="A30" s="240" t="s">
        <v>621</v>
      </c>
      <c r="E30" s="237"/>
      <c r="F30" s="238">
        <v>0.01</v>
      </c>
      <c r="G30" s="237"/>
      <c r="M30" s="237"/>
      <c r="O30" s="240">
        <v>28.0</v>
      </c>
      <c r="R30" s="239"/>
      <c r="S30" s="243">
        <v>0.01</v>
      </c>
    </row>
    <row r="31" ht="22.5" hidden="1" customHeight="1" outlineLevel="1">
      <c r="A31" s="244"/>
      <c r="E31" s="237"/>
      <c r="F31" s="237"/>
      <c r="G31" s="237"/>
      <c r="M31" s="237"/>
      <c r="R31" s="239"/>
      <c r="S31" s="239"/>
    </row>
    <row r="32" ht="22.5" customHeight="1" collapsed="1">
      <c r="A32" s="244" t="s">
        <v>319</v>
      </c>
      <c r="E32" s="237"/>
      <c r="F32" s="237"/>
      <c r="G32" s="237"/>
      <c r="M32" s="237"/>
      <c r="R32" s="239"/>
      <c r="S32" s="239"/>
    </row>
    <row r="33" ht="22.5" hidden="1" customHeight="1" outlineLevel="1">
      <c r="A33" s="245" t="s">
        <v>622</v>
      </c>
      <c r="B33" s="240">
        <v>20.0</v>
      </c>
      <c r="D33" s="240">
        <v>21.0</v>
      </c>
      <c r="E33" s="238">
        <v>0.01</v>
      </c>
      <c r="F33" s="237"/>
      <c r="G33" s="238">
        <v>0.01</v>
      </c>
      <c r="J33" s="240">
        <v>13.0</v>
      </c>
      <c r="M33" s="237"/>
      <c r="R33" s="239"/>
      <c r="S33" s="239"/>
    </row>
    <row r="34" ht="22.5" hidden="1" customHeight="1" outlineLevel="1">
      <c r="A34" s="245" t="s">
        <v>320</v>
      </c>
      <c r="B34" s="240">
        <v>19.0</v>
      </c>
      <c r="D34" s="240">
        <v>18.0</v>
      </c>
      <c r="E34" s="238">
        <v>0.01</v>
      </c>
      <c r="F34" s="237"/>
      <c r="G34" s="237"/>
      <c r="J34" s="240">
        <v>12.0</v>
      </c>
      <c r="M34" s="237"/>
      <c r="R34" s="239"/>
      <c r="S34" s="239"/>
    </row>
    <row r="35" ht="22.5" hidden="1" customHeight="1" outlineLevel="1">
      <c r="A35" s="246" t="s">
        <v>623</v>
      </c>
      <c r="D35" s="240">
        <v>18.0</v>
      </c>
      <c r="E35" s="237"/>
      <c r="F35" s="238">
        <v>0.01</v>
      </c>
      <c r="G35" s="237"/>
      <c r="J35" s="240">
        <v>10.0</v>
      </c>
      <c r="M35" s="237"/>
      <c r="O35" s="240">
        <v>13.0</v>
      </c>
      <c r="R35" s="239"/>
      <c r="S35" s="239"/>
    </row>
    <row r="36" ht="22.5" hidden="1" customHeight="1" outlineLevel="1">
      <c r="A36" s="245" t="s">
        <v>624</v>
      </c>
      <c r="B36" s="240">
        <v>16.0</v>
      </c>
      <c r="D36" s="240">
        <v>30.0</v>
      </c>
      <c r="E36" s="237"/>
      <c r="F36" s="237"/>
      <c r="G36" s="237"/>
      <c r="M36" s="237"/>
      <c r="R36" s="239"/>
      <c r="S36" s="239"/>
    </row>
    <row r="37" ht="22.5" hidden="1" customHeight="1" outlineLevel="1">
      <c r="A37" s="241" t="s">
        <v>625</v>
      </c>
      <c r="B37" s="240">
        <v>16.0</v>
      </c>
      <c r="D37" s="240">
        <v>13.0</v>
      </c>
      <c r="E37" s="238">
        <v>0.01</v>
      </c>
      <c r="F37" s="237"/>
      <c r="G37" s="237"/>
      <c r="I37" s="240">
        <v>25.0</v>
      </c>
      <c r="J37" s="240">
        <v>11.0</v>
      </c>
      <c r="M37" s="237"/>
      <c r="R37" s="239"/>
      <c r="S37" s="239"/>
    </row>
    <row r="38" ht="22.5" hidden="1" customHeight="1" outlineLevel="1">
      <c r="A38" s="245" t="s">
        <v>626</v>
      </c>
      <c r="B38" s="240">
        <v>13.0</v>
      </c>
      <c r="D38" s="240">
        <v>15.0</v>
      </c>
      <c r="E38" s="237"/>
      <c r="F38" s="238">
        <v>0.01</v>
      </c>
      <c r="G38" s="237"/>
      <c r="J38" s="240">
        <v>9.0</v>
      </c>
      <c r="M38" s="237"/>
      <c r="R38" s="239"/>
      <c r="S38" s="239"/>
    </row>
    <row r="39" ht="22.5" hidden="1" customHeight="1" outlineLevel="1">
      <c r="A39" s="240" t="s">
        <v>627</v>
      </c>
      <c r="C39" s="240"/>
      <c r="D39" s="240">
        <v>18.0</v>
      </c>
      <c r="E39" s="237"/>
      <c r="F39" s="238">
        <v>0.01</v>
      </c>
      <c r="G39" s="237"/>
      <c r="J39" s="240">
        <v>9.0</v>
      </c>
      <c r="M39" s="237"/>
      <c r="R39" s="239"/>
      <c r="S39" s="239"/>
    </row>
    <row r="40" ht="22.5" hidden="1" customHeight="1" outlineLevel="1">
      <c r="A40" s="240" t="s">
        <v>628</v>
      </c>
      <c r="C40" s="240">
        <v>20.0</v>
      </c>
      <c r="E40" s="237"/>
      <c r="F40" s="238">
        <v>0.02</v>
      </c>
      <c r="G40" s="237"/>
      <c r="M40" s="237"/>
      <c r="R40" s="239"/>
      <c r="S40" s="239"/>
    </row>
    <row r="41" ht="22.5" hidden="1" customHeight="1" outlineLevel="1">
      <c r="A41" s="240" t="s">
        <v>629</v>
      </c>
      <c r="C41" s="240">
        <v>15.0</v>
      </c>
      <c r="E41" s="238">
        <v>0.01</v>
      </c>
      <c r="F41" s="238">
        <v>0.01</v>
      </c>
      <c r="G41" s="237"/>
      <c r="M41" s="237"/>
      <c r="R41" s="239"/>
      <c r="S41" s="239"/>
    </row>
    <row r="42" ht="22.5" hidden="1" customHeight="1" outlineLevel="1">
      <c r="A42" s="240" t="s">
        <v>630</v>
      </c>
      <c r="D42" s="240">
        <v>8.0</v>
      </c>
      <c r="E42" s="237"/>
      <c r="F42" s="237"/>
      <c r="G42" s="237"/>
      <c r="M42" s="237"/>
      <c r="R42" s="239"/>
      <c r="S42" s="239"/>
    </row>
    <row r="43" ht="22.5" hidden="1" customHeight="1" outlineLevel="1">
      <c r="A43" s="240" t="s">
        <v>631</v>
      </c>
      <c r="C43" s="240">
        <v>40.0</v>
      </c>
      <c r="E43" s="237"/>
      <c r="F43" s="237"/>
      <c r="G43" s="237"/>
      <c r="M43" s="237"/>
      <c r="R43" s="239"/>
      <c r="S43" s="239"/>
    </row>
    <row r="44" ht="22.5" hidden="1" customHeight="1" outlineLevel="1">
      <c r="A44" s="240" t="s">
        <v>632</v>
      </c>
      <c r="B44" s="240">
        <v>15.0</v>
      </c>
      <c r="E44" s="238">
        <v>0.01</v>
      </c>
      <c r="F44" s="237"/>
      <c r="G44" s="237"/>
      <c r="J44" s="240">
        <v>15.0</v>
      </c>
      <c r="M44" s="237"/>
      <c r="O44" s="240">
        <v>16.0</v>
      </c>
      <c r="R44" s="243">
        <v>0.01</v>
      </c>
      <c r="S44" s="239"/>
    </row>
    <row r="45" ht="22.5" hidden="1" customHeight="1" outlineLevel="1">
      <c r="A45" s="247" t="s">
        <v>633</v>
      </c>
      <c r="E45" s="237"/>
      <c r="F45" s="237"/>
      <c r="G45" s="237"/>
      <c r="J45" s="240">
        <v>18.0</v>
      </c>
      <c r="M45" s="237"/>
      <c r="O45" s="240">
        <v>35.0</v>
      </c>
      <c r="R45" s="243">
        <v>0.01</v>
      </c>
      <c r="S45" s="243">
        <v>0.01</v>
      </c>
    </row>
    <row r="46" ht="22.5" hidden="1" customHeight="1" outlineLevel="1">
      <c r="A46" s="245"/>
      <c r="E46" s="237"/>
      <c r="F46" s="237"/>
      <c r="G46" s="237"/>
      <c r="M46" s="237"/>
      <c r="R46" s="239"/>
      <c r="S46" s="239"/>
    </row>
    <row r="47" ht="22.5" customHeight="1">
      <c r="A47" s="244" t="s">
        <v>323</v>
      </c>
      <c r="E47" s="237"/>
      <c r="F47" s="237"/>
      <c r="G47" s="237"/>
      <c r="M47" s="237"/>
      <c r="R47" s="239"/>
      <c r="S47" s="239"/>
    </row>
    <row r="48" ht="22.5" customHeight="1" outlineLevel="1">
      <c r="A48" s="245" t="s">
        <v>634</v>
      </c>
      <c r="B48" s="240">
        <v>15.0</v>
      </c>
      <c r="D48" s="240">
        <v>29.0</v>
      </c>
      <c r="E48" s="237"/>
      <c r="F48" s="238">
        <v>0.01</v>
      </c>
      <c r="G48" s="237"/>
      <c r="M48" s="237"/>
      <c r="R48" s="239"/>
      <c r="S48" s="239"/>
    </row>
    <row r="49" ht="22.5" customHeight="1" outlineLevel="1">
      <c r="A49" s="245" t="s">
        <v>635</v>
      </c>
      <c r="B49" s="240">
        <v>18.0</v>
      </c>
      <c r="E49" s="237"/>
      <c r="F49" s="237"/>
      <c r="G49" s="238">
        <v>0.02</v>
      </c>
      <c r="M49" s="237"/>
      <c r="R49" s="239"/>
      <c r="S49" s="239"/>
    </row>
    <row r="50" ht="22.5" customHeight="1" outlineLevel="1">
      <c r="A50" s="245" t="s">
        <v>636</v>
      </c>
      <c r="C50" s="240">
        <v>50.0</v>
      </c>
      <c r="E50" s="238">
        <v>0.01</v>
      </c>
      <c r="F50" s="237"/>
      <c r="G50" s="237"/>
      <c r="M50" s="237"/>
      <c r="R50" s="239"/>
      <c r="S50" s="239"/>
    </row>
    <row r="51" ht="22.5" customHeight="1" outlineLevel="1">
      <c r="A51" s="245" t="s">
        <v>637</v>
      </c>
      <c r="B51" s="240">
        <v>10.0</v>
      </c>
      <c r="C51" s="240">
        <v>40.0</v>
      </c>
      <c r="E51" s="237"/>
      <c r="F51" s="237"/>
      <c r="G51" s="237"/>
      <c r="I51" s="240">
        <v>20.0</v>
      </c>
      <c r="M51" s="237"/>
      <c r="R51" s="239"/>
      <c r="S51" s="239"/>
    </row>
    <row r="52" ht="22.5" customHeight="1" outlineLevel="1">
      <c r="A52" s="241" t="s">
        <v>638</v>
      </c>
      <c r="B52" s="240">
        <v>11.0</v>
      </c>
      <c r="D52" s="240">
        <v>26.0</v>
      </c>
      <c r="E52" s="237"/>
      <c r="F52" s="237"/>
      <c r="G52" s="237"/>
      <c r="M52" s="237"/>
      <c r="R52" s="239"/>
      <c r="S52" s="239"/>
    </row>
    <row r="53" ht="22.5" customHeight="1" outlineLevel="1">
      <c r="A53" s="241" t="s">
        <v>639</v>
      </c>
      <c r="B53" s="240">
        <v>16.0</v>
      </c>
      <c r="D53" s="240">
        <v>16.0</v>
      </c>
      <c r="E53" s="237"/>
      <c r="F53" s="237"/>
      <c r="G53" s="237"/>
      <c r="M53" s="237"/>
      <c r="R53" s="239"/>
      <c r="S53" s="239"/>
    </row>
    <row r="54" ht="22.5" customHeight="1" outlineLevel="1">
      <c r="A54" s="245" t="s">
        <v>640</v>
      </c>
      <c r="D54" s="240">
        <v>26.0</v>
      </c>
      <c r="E54" s="237"/>
      <c r="F54" s="237"/>
      <c r="G54" s="238">
        <v>0.01</v>
      </c>
      <c r="M54" s="237"/>
      <c r="R54" s="239"/>
      <c r="S54" s="239"/>
    </row>
    <row r="55" ht="22.5" customHeight="1" outlineLevel="1">
      <c r="A55" s="245" t="s">
        <v>324</v>
      </c>
      <c r="B55" s="240">
        <v>11.0</v>
      </c>
      <c r="D55" s="240">
        <v>11.0</v>
      </c>
      <c r="E55" s="237"/>
      <c r="F55" s="237"/>
      <c r="G55" s="238">
        <v>0.01</v>
      </c>
      <c r="M55" s="237"/>
      <c r="R55" s="239"/>
      <c r="S55" s="239"/>
    </row>
    <row r="56" ht="22.5" customHeight="1" outlineLevel="1">
      <c r="A56" s="246" t="s">
        <v>641</v>
      </c>
      <c r="C56" s="240">
        <v>24.0</v>
      </c>
      <c r="D56" s="240">
        <v>16.0</v>
      </c>
      <c r="E56" s="237"/>
      <c r="F56" s="237"/>
      <c r="G56" s="237"/>
      <c r="M56" s="237"/>
      <c r="R56" s="239"/>
      <c r="S56" s="239"/>
    </row>
    <row r="57" ht="22.5" customHeight="1" outlineLevel="1">
      <c r="A57" s="246" t="s">
        <v>642</v>
      </c>
      <c r="C57" s="240">
        <v>15.0</v>
      </c>
      <c r="D57" s="240">
        <v>20.0</v>
      </c>
      <c r="E57" s="237"/>
      <c r="F57" s="237"/>
      <c r="G57" s="237"/>
      <c r="M57" s="237"/>
      <c r="R57" s="239"/>
      <c r="S57" s="239"/>
    </row>
    <row r="58" ht="22.5" customHeight="1" outlineLevel="1">
      <c r="A58" s="246" t="s">
        <v>643</v>
      </c>
      <c r="E58" s="237"/>
      <c r="F58" s="237"/>
      <c r="G58" s="237"/>
      <c r="J58" s="240">
        <v>11.0</v>
      </c>
      <c r="M58" s="237"/>
      <c r="O58" s="240">
        <v>26.0</v>
      </c>
      <c r="R58" s="243">
        <v>0.01</v>
      </c>
      <c r="S58" s="243">
        <v>0.01</v>
      </c>
    </row>
    <row r="59" ht="22.5" customHeight="1" outlineLevel="1">
      <c r="A59" s="246" t="s">
        <v>644</v>
      </c>
      <c r="E59" s="237"/>
      <c r="F59" s="237"/>
      <c r="G59" s="238">
        <v>0.01</v>
      </c>
      <c r="J59" s="240">
        <v>12.0</v>
      </c>
      <c r="M59" s="237"/>
      <c r="O59" s="240">
        <v>30.0</v>
      </c>
      <c r="R59" s="239"/>
      <c r="S59" s="243">
        <v>0.01</v>
      </c>
    </row>
    <row r="60" ht="22.5" customHeight="1" outlineLevel="1">
      <c r="A60" s="246" t="s">
        <v>645</v>
      </c>
      <c r="E60" s="237"/>
      <c r="F60" s="238">
        <v>0.01</v>
      </c>
      <c r="G60" s="237"/>
      <c r="M60" s="237"/>
      <c r="O60" s="240">
        <v>18.0</v>
      </c>
      <c r="R60" s="239"/>
      <c r="S60" s="239"/>
    </row>
    <row r="61" ht="22.5" customHeight="1" collapsed="1">
      <c r="A61" s="248" t="s">
        <v>326</v>
      </c>
      <c r="E61" s="237"/>
      <c r="F61" s="237"/>
      <c r="G61" s="237"/>
      <c r="M61" s="237"/>
      <c r="R61" s="239"/>
      <c r="S61" s="239"/>
    </row>
    <row r="62" ht="22.5" hidden="1" customHeight="1" outlineLevel="1">
      <c r="A62" s="246" t="s">
        <v>646</v>
      </c>
      <c r="B62" s="240">
        <v>30.0</v>
      </c>
      <c r="D62" s="240">
        <v>30.0</v>
      </c>
      <c r="E62" s="238">
        <v>0.01</v>
      </c>
      <c r="F62" s="237"/>
      <c r="G62" s="238">
        <v>0.02</v>
      </c>
      <c r="J62" s="240">
        <v>16.0</v>
      </c>
      <c r="M62" s="237"/>
      <c r="R62" s="239"/>
      <c r="S62" s="239"/>
    </row>
    <row r="63" ht="22.5" hidden="1" customHeight="1" outlineLevel="1">
      <c r="A63" s="240" t="s">
        <v>327</v>
      </c>
      <c r="B63" s="240">
        <v>30.0</v>
      </c>
      <c r="D63" s="240">
        <v>30.0</v>
      </c>
      <c r="E63" s="238">
        <v>0.01</v>
      </c>
      <c r="F63" s="237"/>
      <c r="G63" s="238">
        <v>0.02</v>
      </c>
      <c r="J63" s="240">
        <v>16.0</v>
      </c>
      <c r="M63" s="237"/>
      <c r="R63" s="239"/>
      <c r="S63" s="239"/>
    </row>
    <row r="64" ht="22.5" hidden="1" customHeight="1" outlineLevel="1">
      <c r="A64" s="240" t="s">
        <v>647</v>
      </c>
      <c r="D64" s="240">
        <v>26.0</v>
      </c>
      <c r="E64" s="237"/>
      <c r="F64" s="238">
        <v>0.01</v>
      </c>
      <c r="G64" s="237"/>
      <c r="J64" s="240">
        <v>16.0</v>
      </c>
      <c r="M64" s="237"/>
      <c r="O64" s="240">
        <v>23.0</v>
      </c>
      <c r="R64" s="239"/>
      <c r="S64" s="239"/>
    </row>
    <row r="65" ht="22.5" hidden="1" customHeight="1" outlineLevel="1">
      <c r="A65" s="240" t="s">
        <v>648</v>
      </c>
      <c r="B65" s="240">
        <v>24.0</v>
      </c>
      <c r="D65" s="240">
        <v>17.0</v>
      </c>
      <c r="E65" s="238">
        <v>0.01</v>
      </c>
      <c r="F65" s="237"/>
      <c r="G65" s="238">
        <v>0.01</v>
      </c>
      <c r="J65" s="240">
        <v>14.0</v>
      </c>
      <c r="M65" s="237"/>
      <c r="R65" s="239"/>
      <c r="S65" s="239"/>
    </row>
    <row r="66" ht="22.5" hidden="1" customHeight="1" outlineLevel="1">
      <c r="A66" s="240" t="s">
        <v>649</v>
      </c>
      <c r="C66" s="240">
        <v>36.0</v>
      </c>
      <c r="E66" s="238">
        <v>0.02</v>
      </c>
      <c r="F66" s="237"/>
      <c r="G66" s="237"/>
      <c r="I66" s="240">
        <v>50.0</v>
      </c>
      <c r="M66" s="237"/>
      <c r="R66" s="239"/>
      <c r="S66" s="239"/>
    </row>
    <row r="67" ht="22.5" hidden="1" customHeight="1" outlineLevel="1">
      <c r="A67" s="240" t="s">
        <v>650</v>
      </c>
      <c r="B67" s="240">
        <v>14.0</v>
      </c>
      <c r="D67" s="240">
        <v>22.0</v>
      </c>
      <c r="E67" s="238">
        <v>0.01</v>
      </c>
      <c r="F67" s="237"/>
      <c r="G67" s="237"/>
      <c r="J67" s="240">
        <v>12.0</v>
      </c>
      <c r="M67" s="237"/>
      <c r="R67" s="239"/>
      <c r="S67" s="239"/>
    </row>
    <row r="68" ht="22.5" hidden="1" customHeight="1" outlineLevel="1">
      <c r="A68" s="240" t="s">
        <v>651</v>
      </c>
      <c r="B68" s="240">
        <v>13.0</v>
      </c>
      <c r="D68" s="240">
        <v>14.0</v>
      </c>
      <c r="E68" s="238">
        <v>0.02</v>
      </c>
      <c r="F68" s="237"/>
      <c r="G68" s="237"/>
      <c r="M68" s="237"/>
      <c r="R68" s="239"/>
      <c r="S68" s="239"/>
    </row>
    <row r="69" ht="22.5" hidden="1" customHeight="1" outlineLevel="1">
      <c r="A69" s="246" t="s">
        <v>652</v>
      </c>
      <c r="C69" s="240">
        <v>22.0</v>
      </c>
      <c r="D69" s="240">
        <v>12.0</v>
      </c>
      <c r="E69" s="238">
        <v>0.01</v>
      </c>
      <c r="F69" s="238">
        <v>0.01</v>
      </c>
      <c r="G69" s="237"/>
      <c r="M69" s="237"/>
      <c r="R69" s="239"/>
      <c r="S69" s="239"/>
    </row>
    <row r="70" ht="22.5" hidden="1" customHeight="1" outlineLevel="1">
      <c r="A70" s="246" t="s">
        <v>653</v>
      </c>
      <c r="C70" s="240">
        <v>50.0</v>
      </c>
      <c r="E70" s="237"/>
      <c r="F70" s="237"/>
      <c r="G70" s="237"/>
      <c r="M70" s="237"/>
      <c r="R70" s="239"/>
      <c r="S70" s="239"/>
    </row>
    <row r="71" ht="22.5" hidden="1" customHeight="1" outlineLevel="1">
      <c r="A71" s="246" t="s">
        <v>654</v>
      </c>
      <c r="B71" s="240">
        <v>18.0</v>
      </c>
      <c r="E71" s="238">
        <v>0.01</v>
      </c>
      <c r="F71" s="237"/>
      <c r="G71" s="238">
        <v>0.02</v>
      </c>
      <c r="M71" s="237"/>
      <c r="R71" s="239"/>
      <c r="S71" s="239"/>
    </row>
    <row r="72" ht="22.5" hidden="1" customHeight="1" outlineLevel="1">
      <c r="A72" s="246" t="s">
        <v>655</v>
      </c>
      <c r="E72" s="237"/>
      <c r="F72" s="237"/>
      <c r="G72" s="237"/>
      <c r="J72" s="240">
        <v>25.0</v>
      </c>
      <c r="M72" s="237"/>
      <c r="O72" s="240">
        <v>53.0</v>
      </c>
      <c r="R72" s="243">
        <v>0.02</v>
      </c>
      <c r="S72" s="243">
        <v>0.02</v>
      </c>
    </row>
    <row r="73" ht="22.5" hidden="1" customHeight="1" outlineLevel="1">
      <c r="A73" s="245"/>
      <c r="E73" s="237"/>
      <c r="F73" s="237"/>
      <c r="G73" s="237"/>
      <c r="M73" s="237"/>
      <c r="R73" s="239"/>
      <c r="S73" s="239"/>
    </row>
    <row r="74" ht="22.5" hidden="1" customHeight="1" outlineLevel="1">
      <c r="A74" s="245"/>
      <c r="E74" s="237"/>
      <c r="F74" s="237"/>
      <c r="G74" s="237"/>
      <c r="M74" s="237"/>
      <c r="R74" s="239"/>
      <c r="S74" s="239"/>
    </row>
    <row r="75" ht="22.5" customHeight="1" collapsed="1">
      <c r="A75" s="244" t="s">
        <v>329</v>
      </c>
      <c r="E75" s="237"/>
      <c r="F75" s="237"/>
      <c r="G75" s="237"/>
      <c r="M75" s="237"/>
      <c r="R75" s="239"/>
      <c r="S75" s="239"/>
    </row>
    <row r="76" ht="22.5" hidden="1" customHeight="1" outlineLevel="1">
      <c r="A76" s="241" t="s">
        <v>330</v>
      </c>
      <c r="B76" s="240">
        <v>16.0</v>
      </c>
      <c r="D76" s="240">
        <v>12.0</v>
      </c>
      <c r="E76" s="237"/>
      <c r="F76" s="238">
        <v>0.01</v>
      </c>
      <c r="G76" s="237"/>
      <c r="J76" s="240">
        <v>10.0</v>
      </c>
      <c r="M76" s="237"/>
      <c r="R76" s="239"/>
      <c r="S76" s="239"/>
    </row>
    <row r="77" ht="22.5" hidden="1" customHeight="1" outlineLevel="1">
      <c r="A77" s="241" t="s">
        <v>656</v>
      </c>
      <c r="B77" s="240">
        <v>15.0</v>
      </c>
      <c r="D77" s="240">
        <v>16.0</v>
      </c>
      <c r="E77" s="237"/>
      <c r="F77" s="238">
        <v>0.01</v>
      </c>
      <c r="G77" s="237"/>
      <c r="M77" s="237"/>
      <c r="R77" s="239"/>
      <c r="S77" s="239"/>
    </row>
    <row r="78" ht="22.5" hidden="1" customHeight="1" outlineLevel="1">
      <c r="A78" s="241" t="s">
        <v>657</v>
      </c>
      <c r="B78" s="240">
        <v>15.0</v>
      </c>
      <c r="D78" s="240">
        <v>15.0</v>
      </c>
      <c r="E78" s="237"/>
      <c r="F78" s="237"/>
      <c r="G78" s="238">
        <v>0.01</v>
      </c>
      <c r="M78" s="237"/>
      <c r="R78" s="239"/>
      <c r="S78" s="239"/>
    </row>
    <row r="79" ht="22.5" hidden="1" customHeight="1" outlineLevel="1">
      <c r="A79" s="246" t="s">
        <v>658</v>
      </c>
      <c r="B79" s="240">
        <v>14.0</v>
      </c>
      <c r="D79" s="240">
        <v>6.0</v>
      </c>
      <c r="E79" s="237"/>
      <c r="F79" s="238">
        <v>0.01</v>
      </c>
      <c r="G79" s="237"/>
      <c r="J79" s="240">
        <v>10.0</v>
      </c>
      <c r="M79" s="237"/>
      <c r="R79" s="239"/>
      <c r="S79" s="239"/>
    </row>
    <row r="80" ht="22.5" hidden="1" customHeight="1" outlineLevel="1">
      <c r="A80" s="246" t="s">
        <v>659</v>
      </c>
      <c r="B80" s="240"/>
      <c r="D80" s="240">
        <v>19.0</v>
      </c>
      <c r="E80" s="237"/>
      <c r="F80" s="238">
        <v>0.01</v>
      </c>
      <c r="G80" s="237"/>
      <c r="J80" s="240"/>
      <c r="M80" s="237"/>
      <c r="R80" s="239"/>
      <c r="S80" s="239"/>
    </row>
    <row r="81" ht="22.5" hidden="1" customHeight="1" outlineLevel="1">
      <c r="A81" s="241" t="s">
        <v>660</v>
      </c>
      <c r="B81" s="240">
        <v>11.0</v>
      </c>
      <c r="D81" s="240">
        <v>12.0</v>
      </c>
      <c r="E81" s="237"/>
      <c r="F81" s="237"/>
      <c r="G81" s="237"/>
      <c r="J81" s="240">
        <v>8.0</v>
      </c>
      <c r="M81" s="237"/>
      <c r="R81" s="239"/>
      <c r="S81" s="239"/>
    </row>
    <row r="82" ht="22.5" hidden="1" customHeight="1" outlineLevel="1">
      <c r="A82" s="246" t="s">
        <v>661</v>
      </c>
      <c r="B82" s="240">
        <v>24.0</v>
      </c>
      <c r="E82" s="237"/>
      <c r="F82" s="238"/>
      <c r="G82" s="237"/>
      <c r="M82" s="237"/>
      <c r="R82" s="239"/>
      <c r="S82" s="239"/>
    </row>
    <row r="83" ht="22.5" hidden="1" customHeight="1" outlineLevel="1">
      <c r="A83" s="246" t="s">
        <v>662</v>
      </c>
      <c r="B83" s="240">
        <v>5.0</v>
      </c>
      <c r="E83" s="237"/>
      <c r="F83" s="238">
        <v>0.01</v>
      </c>
      <c r="G83" s="237"/>
      <c r="M83" s="237"/>
      <c r="R83" s="239"/>
      <c r="S83" s="239"/>
    </row>
    <row r="84" ht="22.5" hidden="1" customHeight="1" outlineLevel="1">
      <c r="A84" s="240" t="s">
        <v>663</v>
      </c>
      <c r="C84" s="240">
        <v>10.0</v>
      </c>
      <c r="D84" s="240">
        <v>14.0</v>
      </c>
      <c r="E84" s="237"/>
      <c r="F84" s="237"/>
      <c r="G84" s="237"/>
      <c r="M84" s="237"/>
      <c r="R84" s="239"/>
      <c r="S84" s="239"/>
    </row>
    <row r="85" ht="22.5" hidden="1" customHeight="1" outlineLevel="1">
      <c r="A85" s="246" t="s">
        <v>664</v>
      </c>
      <c r="C85" s="240">
        <v>30.0</v>
      </c>
      <c r="E85" s="237"/>
      <c r="F85" s="237"/>
      <c r="G85" s="237"/>
      <c r="J85" s="240">
        <v>5.0</v>
      </c>
      <c r="M85" s="237"/>
      <c r="R85" s="239"/>
      <c r="S85" s="239"/>
    </row>
    <row r="86" ht="22.5" hidden="1" customHeight="1" outlineLevel="1">
      <c r="A86" s="246" t="s">
        <v>665</v>
      </c>
      <c r="B86" s="240">
        <v>13.0</v>
      </c>
      <c r="E86" s="237"/>
      <c r="F86" s="237"/>
      <c r="G86" s="237"/>
      <c r="M86" s="237"/>
      <c r="R86" s="239"/>
      <c r="S86" s="239"/>
    </row>
    <row r="87" ht="22.5" hidden="1" customHeight="1" outlineLevel="1">
      <c r="A87" s="245"/>
      <c r="E87" s="237"/>
      <c r="F87" s="237"/>
      <c r="G87" s="237"/>
      <c r="M87" s="237"/>
      <c r="R87" s="239"/>
      <c r="S87" s="239"/>
    </row>
    <row r="88" ht="22.5" hidden="1" customHeight="1" outlineLevel="1">
      <c r="A88" s="245"/>
      <c r="E88" s="237"/>
      <c r="F88" s="237"/>
      <c r="G88" s="237"/>
      <c r="M88" s="237"/>
      <c r="R88" s="239"/>
      <c r="S88" s="239"/>
    </row>
    <row r="89" ht="22.5" hidden="1" customHeight="1" outlineLevel="1">
      <c r="A89" s="245"/>
      <c r="E89" s="237"/>
      <c r="F89" s="237"/>
      <c r="G89" s="237"/>
      <c r="M89" s="237"/>
      <c r="R89" s="239"/>
      <c r="S89" s="239"/>
    </row>
    <row r="90" ht="22.5" hidden="1" customHeight="1" outlineLevel="1">
      <c r="A90" s="245"/>
      <c r="E90" s="237"/>
      <c r="F90" s="237"/>
      <c r="G90" s="237"/>
      <c r="M90" s="237"/>
      <c r="R90" s="239"/>
      <c r="S90" s="239"/>
    </row>
    <row r="91" ht="22.5" customHeight="1" collapsed="1">
      <c r="A91" s="244" t="s">
        <v>332</v>
      </c>
      <c r="E91" s="237"/>
      <c r="F91" s="237"/>
      <c r="G91" s="237"/>
      <c r="M91" s="237"/>
      <c r="R91" s="239"/>
      <c r="S91" s="239"/>
    </row>
    <row r="92" ht="22.5" hidden="1" customHeight="1" outlineLevel="1">
      <c r="A92" s="245" t="s">
        <v>666</v>
      </c>
      <c r="B92" s="240">
        <v>20.0</v>
      </c>
      <c r="D92" s="240">
        <v>28.0</v>
      </c>
      <c r="E92" s="237"/>
      <c r="F92" s="237"/>
      <c r="G92" s="238">
        <v>0.01</v>
      </c>
      <c r="M92" s="237"/>
      <c r="R92" s="239"/>
      <c r="S92" s="239"/>
    </row>
    <row r="93" ht="22.5" hidden="1" customHeight="1" outlineLevel="1">
      <c r="A93" s="245" t="s">
        <v>667</v>
      </c>
      <c r="B93" s="240">
        <v>18.0</v>
      </c>
      <c r="D93" s="240">
        <v>20.0</v>
      </c>
      <c r="E93" s="238">
        <v>0.01</v>
      </c>
      <c r="F93" s="238">
        <v>0.01</v>
      </c>
      <c r="G93" s="237"/>
      <c r="J93" s="240">
        <v>15.0</v>
      </c>
      <c r="M93" s="237"/>
      <c r="R93" s="239"/>
      <c r="S93" s="239"/>
    </row>
    <row r="94" ht="22.5" hidden="1" customHeight="1" outlineLevel="1">
      <c r="A94" s="241" t="s">
        <v>668</v>
      </c>
      <c r="B94" s="240">
        <v>15.0</v>
      </c>
      <c r="E94" s="238">
        <v>0.01</v>
      </c>
      <c r="F94" s="237"/>
      <c r="G94" s="237"/>
      <c r="H94" s="240">
        <v>6.0</v>
      </c>
      <c r="M94" s="237"/>
      <c r="R94" s="239"/>
      <c r="S94" s="239"/>
    </row>
    <row r="95" ht="22.5" hidden="1" customHeight="1" outlineLevel="1">
      <c r="A95" s="241" t="s">
        <v>669</v>
      </c>
      <c r="B95" s="240">
        <v>15.0</v>
      </c>
      <c r="D95" s="240">
        <v>15.0</v>
      </c>
      <c r="E95" s="238">
        <v>0.01</v>
      </c>
      <c r="F95" s="237"/>
      <c r="G95" s="238">
        <v>0.01</v>
      </c>
      <c r="J95" s="240">
        <v>10.0</v>
      </c>
      <c r="M95" s="237"/>
      <c r="R95" s="239"/>
      <c r="S95" s="239"/>
    </row>
    <row r="96" ht="22.5" hidden="1" customHeight="1" outlineLevel="1">
      <c r="A96" s="241" t="s">
        <v>333</v>
      </c>
      <c r="C96" s="240">
        <v>54.0</v>
      </c>
      <c r="E96" s="238">
        <v>0.01</v>
      </c>
      <c r="F96" s="237"/>
      <c r="G96" s="237"/>
      <c r="H96" s="240">
        <v>7.0</v>
      </c>
      <c r="M96" s="237"/>
      <c r="R96" s="239"/>
      <c r="S96" s="239"/>
    </row>
    <row r="97" ht="22.5" hidden="1" customHeight="1" outlineLevel="1">
      <c r="A97" s="241" t="s">
        <v>670</v>
      </c>
      <c r="B97" s="240">
        <v>10.0</v>
      </c>
      <c r="D97" s="240">
        <v>15.0</v>
      </c>
      <c r="E97" s="238">
        <v>0.01</v>
      </c>
      <c r="F97" s="237"/>
      <c r="G97" s="237"/>
      <c r="J97" s="240">
        <v>8.0</v>
      </c>
      <c r="M97" s="237"/>
      <c r="R97" s="239"/>
      <c r="S97" s="239"/>
    </row>
    <row r="98" ht="22.5" hidden="1" customHeight="1" outlineLevel="1">
      <c r="A98" s="246" t="s">
        <v>671</v>
      </c>
      <c r="C98" s="240">
        <v>20.0</v>
      </c>
      <c r="E98" s="237"/>
      <c r="F98" s="238">
        <v>0.01</v>
      </c>
      <c r="G98" s="238">
        <v>0.01</v>
      </c>
      <c r="M98" s="237"/>
      <c r="R98" s="239"/>
      <c r="S98" s="239"/>
    </row>
    <row r="99" ht="22.5" hidden="1" customHeight="1" outlineLevel="1">
      <c r="A99" s="246" t="s">
        <v>672</v>
      </c>
      <c r="B99" s="240">
        <v>10.0</v>
      </c>
      <c r="D99" s="240">
        <v>5.0</v>
      </c>
      <c r="E99" s="238">
        <v>0.01</v>
      </c>
      <c r="F99" s="237"/>
      <c r="G99" s="237"/>
      <c r="M99" s="237"/>
      <c r="R99" s="239"/>
      <c r="S99" s="239"/>
    </row>
    <row r="100" ht="22.5" hidden="1" customHeight="1" outlineLevel="1">
      <c r="A100" s="246" t="s">
        <v>673</v>
      </c>
      <c r="D100" s="240">
        <v>9.0</v>
      </c>
      <c r="E100" s="237"/>
      <c r="F100" s="238">
        <v>0.02</v>
      </c>
      <c r="G100" s="237"/>
      <c r="M100" s="237"/>
      <c r="R100" s="239"/>
      <c r="S100" s="239"/>
    </row>
    <row r="101" ht="22.5" hidden="1" customHeight="1" outlineLevel="1">
      <c r="A101" s="246" t="s">
        <v>674</v>
      </c>
      <c r="C101" s="240">
        <v>28.0</v>
      </c>
      <c r="E101" s="238">
        <v>0.01</v>
      </c>
      <c r="F101" s="237"/>
      <c r="G101" s="237"/>
      <c r="M101" s="237"/>
      <c r="R101" s="239"/>
      <c r="S101" s="239"/>
    </row>
    <row r="102" ht="22.5" hidden="1" customHeight="1" outlineLevel="1">
      <c r="A102" s="246" t="s">
        <v>675</v>
      </c>
      <c r="B102" s="240">
        <v>14.0</v>
      </c>
      <c r="D102" s="240">
        <v>10.0</v>
      </c>
      <c r="E102" s="237"/>
      <c r="F102" s="237"/>
      <c r="G102" s="237"/>
      <c r="J102" s="240">
        <v>13.0</v>
      </c>
      <c r="M102" s="237"/>
      <c r="O102" s="240">
        <v>20.0</v>
      </c>
      <c r="R102" s="243">
        <v>0.01</v>
      </c>
      <c r="S102" s="239"/>
    </row>
    <row r="103" ht="22.5" hidden="1" customHeight="1" outlineLevel="1">
      <c r="A103" s="245"/>
      <c r="E103" s="237"/>
      <c r="F103" s="237"/>
      <c r="G103" s="237"/>
      <c r="M103" s="237"/>
      <c r="R103" s="239"/>
      <c r="S103" s="239"/>
    </row>
    <row r="104" ht="22.5" hidden="1" customHeight="1" outlineLevel="1">
      <c r="A104" s="245"/>
      <c r="E104" s="237"/>
      <c r="F104" s="237"/>
      <c r="G104" s="237"/>
      <c r="M104" s="237"/>
      <c r="R104" s="239"/>
      <c r="S104" s="239"/>
    </row>
    <row r="105" ht="22.5" customHeight="1" collapsed="1">
      <c r="A105" s="244" t="s">
        <v>335</v>
      </c>
      <c r="E105" s="237"/>
      <c r="F105" s="237"/>
      <c r="G105" s="237"/>
      <c r="M105" s="237"/>
      <c r="R105" s="239"/>
      <c r="S105" s="239"/>
    </row>
    <row r="106" ht="22.5" hidden="1" customHeight="1" outlineLevel="1">
      <c r="A106" s="241" t="s">
        <v>676</v>
      </c>
      <c r="C106" s="240">
        <v>46.0</v>
      </c>
      <c r="E106" s="238">
        <v>0.02</v>
      </c>
      <c r="F106" s="237"/>
      <c r="G106" s="238">
        <v>0.02</v>
      </c>
      <c r="M106" s="237"/>
      <c r="R106" s="239"/>
      <c r="S106" s="239"/>
    </row>
    <row r="107" ht="22.5" hidden="1" customHeight="1" outlineLevel="1">
      <c r="A107" s="241" t="s">
        <v>336</v>
      </c>
      <c r="B107" s="240">
        <v>20.0</v>
      </c>
      <c r="D107" s="240">
        <v>17.0</v>
      </c>
      <c r="E107" s="238">
        <v>0.01</v>
      </c>
      <c r="F107" s="237"/>
      <c r="G107" s="237"/>
      <c r="J107" s="240">
        <v>14.0</v>
      </c>
      <c r="M107" s="237"/>
      <c r="R107" s="239"/>
      <c r="S107" s="239"/>
    </row>
    <row r="108" ht="22.5" hidden="1" customHeight="1" outlineLevel="1">
      <c r="A108" s="241" t="s">
        <v>677</v>
      </c>
      <c r="B108" s="240">
        <v>16.0</v>
      </c>
      <c r="D108" s="240">
        <v>16.0</v>
      </c>
      <c r="E108" s="237"/>
      <c r="F108" s="237"/>
      <c r="G108" s="238">
        <v>0.02</v>
      </c>
      <c r="M108" s="237"/>
      <c r="R108" s="239"/>
      <c r="S108" s="239"/>
    </row>
    <row r="109" ht="22.5" hidden="1" customHeight="1" outlineLevel="1">
      <c r="A109" s="246" t="s">
        <v>678</v>
      </c>
      <c r="B109" s="240"/>
      <c r="C109" s="240">
        <v>44.0</v>
      </c>
      <c r="D109" s="240"/>
      <c r="E109" s="238">
        <v>0.01</v>
      </c>
      <c r="F109" s="238"/>
      <c r="G109" s="238">
        <v>0.01</v>
      </c>
      <c r="J109" s="240">
        <v>14.0</v>
      </c>
      <c r="M109" s="237"/>
      <c r="R109" s="239"/>
      <c r="S109" s="239"/>
    </row>
    <row r="110" ht="22.5" hidden="1" customHeight="1" outlineLevel="1">
      <c r="A110" s="241" t="s">
        <v>679</v>
      </c>
      <c r="B110" s="240">
        <v>18.0</v>
      </c>
      <c r="D110" s="240">
        <v>15.0</v>
      </c>
      <c r="E110" s="237"/>
      <c r="F110" s="238">
        <v>0.01</v>
      </c>
      <c r="G110" s="237"/>
      <c r="J110" s="240">
        <v>10.0</v>
      </c>
      <c r="M110" s="237"/>
      <c r="R110" s="239"/>
      <c r="S110" s="239"/>
    </row>
    <row r="111" ht="22.5" hidden="1" customHeight="1" outlineLevel="1">
      <c r="A111" s="241" t="s">
        <v>680</v>
      </c>
      <c r="B111" s="240">
        <v>16.0</v>
      </c>
      <c r="D111" s="240">
        <v>12.0</v>
      </c>
      <c r="E111" s="237"/>
      <c r="F111" s="237"/>
      <c r="G111" s="237"/>
      <c r="J111" s="240">
        <v>9.0</v>
      </c>
      <c r="M111" s="237"/>
      <c r="R111" s="239"/>
      <c r="S111" s="239"/>
    </row>
    <row r="112" ht="22.5" hidden="1" customHeight="1" outlineLevel="1">
      <c r="A112" s="246" t="s">
        <v>681</v>
      </c>
      <c r="D112" s="240">
        <v>21.0</v>
      </c>
      <c r="E112" s="237"/>
      <c r="F112" s="238">
        <v>0.01</v>
      </c>
      <c r="G112" s="237"/>
      <c r="M112" s="237"/>
      <c r="R112" s="239"/>
      <c r="S112" s="239"/>
    </row>
    <row r="113" ht="22.5" hidden="1" customHeight="1" outlineLevel="1">
      <c r="A113" s="246" t="s">
        <v>682</v>
      </c>
      <c r="B113" s="240">
        <v>16.0</v>
      </c>
      <c r="D113" s="240">
        <v>15.0</v>
      </c>
      <c r="E113" s="237"/>
      <c r="F113" s="237"/>
      <c r="G113" s="238">
        <v>0.01</v>
      </c>
      <c r="J113" s="240">
        <v>16.0</v>
      </c>
      <c r="M113" s="237"/>
      <c r="O113" s="240">
        <v>20.0</v>
      </c>
      <c r="R113" s="239"/>
      <c r="S113" s="239"/>
    </row>
    <row r="114" ht="22.5" hidden="1" customHeight="1" outlineLevel="1">
      <c r="A114" s="245"/>
      <c r="E114" s="237"/>
      <c r="F114" s="237"/>
      <c r="G114" s="237"/>
      <c r="M114" s="237"/>
      <c r="R114" s="239"/>
      <c r="S114" s="239"/>
    </row>
    <row r="115" ht="22.5" hidden="1" customHeight="1" outlineLevel="1">
      <c r="A115" s="245"/>
      <c r="E115" s="237"/>
      <c r="F115" s="237"/>
      <c r="G115" s="237"/>
      <c r="M115" s="237"/>
      <c r="R115" s="239"/>
      <c r="S115" s="239"/>
    </row>
    <row r="116" ht="22.5" hidden="1" customHeight="1" outlineLevel="1">
      <c r="A116" s="245"/>
      <c r="E116" s="237"/>
      <c r="F116" s="237"/>
      <c r="G116" s="237"/>
      <c r="M116" s="237"/>
      <c r="R116" s="239"/>
      <c r="S116" s="239"/>
    </row>
    <row r="117" ht="22.5" hidden="1" customHeight="1" outlineLevel="1">
      <c r="A117" s="245"/>
      <c r="E117" s="237"/>
      <c r="F117" s="237"/>
      <c r="G117" s="237"/>
      <c r="M117" s="237"/>
      <c r="R117" s="239"/>
      <c r="S117" s="239"/>
    </row>
    <row r="118" ht="22.5" hidden="1" customHeight="1" outlineLevel="1">
      <c r="A118" s="245"/>
      <c r="E118" s="237"/>
      <c r="F118" s="237"/>
      <c r="G118" s="237"/>
      <c r="M118" s="237"/>
      <c r="R118" s="239"/>
      <c r="S118" s="239"/>
    </row>
    <row r="119" ht="22.5" hidden="1" customHeight="1" outlineLevel="1">
      <c r="A119" s="245"/>
      <c r="E119" s="237"/>
      <c r="F119" s="237"/>
      <c r="G119" s="237"/>
      <c r="M119" s="237"/>
      <c r="R119" s="239"/>
      <c r="S119" s="239"/>
    </row>
    <row r="120" ht="22.5" customHeight="1" collapsed="1">
      <c r="A120" s="249" t="s">
        <v>338</v>
      </c>
      <c r="E120" s="237"/>
      <c r="F120" s="237"/>
      <c r="G120" s="237"/>
      <c r="M120" s="237"/>
      <c r="R120" s="239"/>
      <c r="S120" s="239"/>
    </row>
    <row r="121" ht="22.5" hidden="1" customHeight="1" outlineLevel="1">
      <c r="A121" s="241" t="s">
        <v>683</v>
      </c>
      <c r="B121" s="240">
        <v>27.0</v>
      </c>
      <c r="D121" s="240">
        <v>32.0</v>
      </c>
      <c r="E121" s="237"/>
      <c r="F121" s="238">
        <v>0.01</v>
      </c>
      <c r="G121" s="238">
        <v>0.01</v>
      </c>
      <c r="J121" s="240">
        <v>16.0</v>
      </c>
      <c r="M121" s="237"/>
      <c r="R121" s="239"/>
      <c r="S121" s="239"/>
    </row>
    <row r="122" ht="22.5" hidden="1" customHeight="1" outlineLevel="1">
      <c r="A122" s="241" t="s">
        <v>684</v>
      </c>
      <c r="B122" s="240">
        <v>22.0</v>
      </c>
      <c r="D122" s="240">
        <v>30.0</v>
      </c>
      <c r="E122" s="238">
        <v>0.01</v>
      </c>
      <c r="F122" s="237"/>
      <c r="G122" s="237"/>
      <c r="H122" s="240">
        <v>6.0</v>
      </c>
      <c r="J122" s="240">
        <v>28.0</v>
      </c>
      <c r="M122" s="237"/>
      <c r="O122" s="240">
        <v>30.0</v>
      </c>
      <c r="R122" s="239"/>
      <c r="S122" s="239"/>
    </row>
    <row r="123" ht="22.5" hidden="1" customHeight="1" outlineLevel="1">
      <c r="A123" s="241" t="s">
        <v>339</v>
      </c>
      <c r="B123" s="240">
        <v>30.0</v>
      </c>
      <c r="D123" s="240">
        <v>25.0</v>
      </c>
      <c r="E123" s="238">
        <v>0.01</v>
      </c>
      <c r="F123" s="237"/>
      <c r="G123" s="237"/>
      <c r="H123" s="240"/>
      <c r="J123" s="240">
        <v>19.0</v>
      </c>
      <c r="M123" s="237"/>
      <c r="R123" s="239"/>
      <c r="S123" s="239"/>
    </row>
    <row r="124" ht="22.5" hidden="1" customHeight="1" outlineLevel="1">
      <c r="A124" s="246" t="s">
        <v>685</v>
      </c>
      <c r="D124" s="240">
        <v>22.0</v>
      </c>
      <c r="E124" s="237"/>
      <c r="F124" s="238">
        <v>0.01</v>
      </c>
      <c r="G124" s="237"/>
      <c r="J124" s="240">
        <v>15.0</v>
      </c>
      <c r="M124" s="237"/>
      <c r="O124" s="240">
        <v>23.0</v>
      </c>
      <c r="R124" s="239"/>
      <c r="S124" s="239"/>
    </row>
    <row r="125" ht="22.5" hidden="1" customHeight="1" outlineLevel="1">
      <c r="A125" s="246" t="s">
        <v>686</v>
      </c>
      <c r="B125" s="240"/>
      <c r="C125" s="240">
        <v>62.0</v>
      </c>
      <c r="D125" s="240"/>
      <c r="E125" s="238">
        <v>0.02</v>
      </c>
      <c r="F125" s="237"/>
      <c r="G125" s="237"/>
      <c r="H125" s="240"/>
      <c r="J125" s="240">
        <v>10.0</v>
      </c>
      <c r="M125" s="237"/>
      <c r="O125" s="240"/>
      <c r="R125" s="239"/>
      <c r="S125" s="239"/>
    </row>
    <row r="126" ht="22.5" hidden="1" customHeight="1" outlineLevel="1">
      <c r="A126" s="241" t="s">
        <v>687</v>
      </c>
      <c r="B126" s="240">
        <v>9.0</v>
      </c>
      <c r="D126" s="240">
        <v>26.0</v>
      </c>
      <c r="E126" s="238">
        <v>0.01</v>
      </c>
      <c r="F126" s="237"/>
      <c r="G126" s="237"/>
      <c r="H126" s="240">
        <v>8.0</v>
      </c>
      <c r="J126" s="240">
        <v>16.0</v>
      </c>
      <c r="M126" s="237"/>
      <c r="O126" s="240">
        <v>15.0</v>
      </c>
      <c r="R126" s="239"/>
      <c r="S126" s="239"/>
    </row>
    <row r="127" ht="22.5" hidden="1" customHeight="1" outlineLevel="1">
      <c r="A127" s="241" t="s">
        <v>688</v>
      </c>
      <c r="B127" s="240">
        <v>21.0</v>
      </c>
      <c r="D127" s="240">
        <v>16.0</v>
      </c>
      <c r="E127" s="238">
        <v>0.01</v>
      </c>
      <c r="F127" s="237"/>
      <c r="G127" s="237"/>
      <c r="J127" s="240">
        <v>17.0</v>
      </c>
      <c r="M127" s="237"/>
      <c r="R127" s="239"/>
      <c r="S127" s="239"/>
    </row>
    <row r="128" ht="22.5" hidden="1" customHeight="1" outlineLevel="1">
      <c r="A128" s="241" t="s">
        <v>689</v>
      </c>
      <c r="B128" s="240">
        <v>21.0</v>
      </c>
      <c r="D128" s="240">
        <v>14.0</v>
      </c>
      <c r="E128" s="238">
        <v>0.01</v>
      </c>
      <c r="F128" s="237"/>
      <c r="G128" s="237"/>
      <c r="J128" s="240">
        <v>18.0</v>
      </c>
      <c r="M128" s="237"/>
      <c r="R128" s="239"/>
      <c r="S128" s="239"/>
    </row>
    <row r="129" ht="22.5" hidden="1" customHeight="1" outlineLevel="1">
      <c r="A129" s="246" t="s">
        <v>690</v>
      </c>
      <c r="B129" s="240">
        <v>9.0</v>
      </c>
      <c r="D129" s="240">
        <v>30.0</v>
      </c>
      <c r="E129" s="238">
        <v>0.01</v>
      </c>
      <c r="F129" s="237"/>
      <c r="G129" s="237"/>
      <c r="M129" s="237"/>
      <c r="R129" s="239"/>
      <c r="S129" s="239"/>
    </row>
    <row r="130" ht="22.5" hidden="1" customHeight="1" outlineLevel="1">
      <c r="A130" s="246" t="s">
        <v>691</v>
      </c>
      <c r="D130" s="240">
        <v>26.0</v>
      </c>
      <c r="E130" s="237"/>
      <c r="F130" s="237"/>
      <c r="G130" s="237"/>
      <c r="M130" s="237"/>
      <c r="R130" s="239"/>
      <c r="S130" s="239"/>
    </row>
    <row r="131" ht="22.5" hidden="1" customHeight="1" outlineLevel="1">
      <c r="A131" s="246" t="s">
        <v>692</v>
      </c>
      <c r="B131" s="240">
        <v>19.0</v>
      </c>
      <c r="D131" s="240">
        <v>19.0</v>
      </c>
      <c r="E131" s="237"/>
      <c r="F131" s="237"/>
      <c r="G131" s="237"/>
      <c r="M131" s="237"/>
      <c r="R131" s="239"/>
      <c r="S131" s="239"/>
    </row>
    <row r="132" ht="22.5" hidden="1" customHeight="1" outlineLevel="1">
      <c r="A132" s="246" t="s">
        <v>693</v>
      </c>
      <c r="B132" s="240">
        <v>10.0</v>
      </c>
      <c r="D132" s="240">
        <v>10.0</v>
      </c>
      <c r="E132" s="238">
        <v>0.01</v>
      </c>
      <c r="F132" s="238"/>
      <c r="G132" s="237"/>
      <c r="M132" s="237"/>
      <c r="R132" s="239"/>
      <c r="S132" s="239"/>
    </row>
    <row r="133" ht="22.5" hidden="1" customHeight="1" outlineLevel="1">
      <c r="A133" s="246" t="s">
        <v>694</v>
      </c>
      <c r="C133" s="240">
        <v>54.0</v>
      </c>
      <c r="E133" s="237"/>
      <c r="F133" s="237"/>
      <c r="G133" s="237"/>
      <c r="M133" s="237"/>
      <c r="R133" s="239"/>
      <c r="S133" s="239"/>
    </row>
    <row r="134" ht="22.5" hidden="1" customHeight="1" outlineLevel="1">
      <c r="A134" s="246" t="s">
        <v>695</v>
      </c>
      <c r="C134" s="240">
        <v>46.0</v>
      </c>
      <c r="E134" s="238">
        <v>0.01</v>
      </c>
      <c r="F134" s="237"/>
      <c r="G134" s="237"/>
      <c r="M134" s="237"/>
      <c r="R134" s="239"/>
      <c r="S134" s="239"/>
    </row>
    <row r="135" ht="22.5" hidden="1" customHeight="1" outlineLevel="1">
      <c r="A135" s="246" t="s">
        <v>696</v>
      </c>
      <c r="B135" s="240">
        <v>22.0</v>
      </c>
      <c r="E135" s="237"/>
      <c r="F135" s="238">
        <v>0.01</v>
      </c>
      <c r="G135" s="238">
        <v>0.01</v>
      </c>
      <c r="M135" s="237"/>
      <c r="R135" s="239"/>
      <c r="S135" s="239"/>
    </row>
    <row r="136" ht="22.5" customHeight="1" collapsed="1">
      <c r="A136" s="248" t="s">
        <v>340</v>
      </c>
      <c r="E136" s="237"/>
      <c r="F136" s="237"/>
      <c r="G136" s="237"/>
      <c r="M136" s="237"/>
      <c r="R136" s="239"/>
      <c r="S136" s="239"/>
    </row>
    <row r="137" ht="22.5" hidden="1" customHeight="1" outlineLevel="1">
      <c r="A137" s="246" t="s">
        <v>697</v>
      </c>
      <c r="B137" s="240">
        <v>21.0</v>
      </c>
      <c r="D137" s="240">
        <v>23.0</v>
      </c>
      <c r="E137" s="237"/>
      <c r="F137" s="238">
        <v>0.01</v>
      </c>
      <c r="G137" s="237"/>
      <c r="I137" s="240">
        <v>25.0</v>
      </c>
      <c r="J137" s="240">
        <v>13.0</v>
      </c>
      <c r="M137" s="237"/>
      <c r="R137" s="239"/>
      <c r="S137" s="239"/>
    </row>
    <row r="138" ht="22.5" hidden="1" customHeight="1" outlineLevel="1">
      <c r="A138" s="246" t="s">
        <v>341</v>
      </c>
      <c r="B138" s="240">
        <v>20.0</v>
      </c>
      <c r="D138" s="240">
        <v>22.0</v>
      </c>
      <c r="E138" s="237"/>
      <c r="F138" s="238">
        <v>0.01</v>
      </c>
      <c r="G138" s="237"/>
      <c r="J138" s="240">
        <v>12.0</v>
      </c>
      <c r="M138" s="237"/>
      <c r="R138" s="239"/>
      <c r="S138" s="239"/>
    </row>
    <row r="139" ht="22.5" hidden="1" customHeight="1" outlineLevel="1">
      <c r="A139" s="246" t="s">
        <v>698</v>
      </c>
      <c r="D139" s="240">
        <v>30.0</v>
      </c>
      <c r="E139" s="237"/>
      <c r="F139" s="237"/>
      <c r="G139" s="238">
        <v>0.02</v>
      </c>
      <c r="M139" s="237"/>
      <c r="R139" s="239"/>
      <c r="S139" s="239"/>
    </row>
    <row r="140" ht="22.5" hidden="1" customHeight="1" outlineLevel="1">
      <c r="A140" s="246" t="s">
        <v>699</v>
      </c>
      <c r="D140" s="240">
        <v>18.0</v>
      </c>
      <c r="E140" s="237"/>
      <c r="F140" s="237"/>
      <c r="G140" s="237"/>
      <c r="J140" s="240">
        <v>10.0</v>
      </c>
      <c r="M140" s="237"/>
      <c r="O140" s="240">
        <v>13.0</v>
      </c>
      <c r="R140" s="239"/>
      <c r="S140" s="239"/>
    </row>
    <row r="141" ht="22.5" hidden="1" customHeight="1" outlineLevel="1">
      <c r="A141" s="246" t="s">
        <v>700</v>
      </c>
      <c r="B141" s="240">
        <v>18.0</v>
      </c>
      <c r="D141" s="240">
        <v>32.0</v>
      </c>
      <c r="E141" s="237"/>
      <c r="F141" s="237"/>
      <c r="G141" s="237"/>
      <c r="M141" s="237"/>
      <c r="R141" s="239"/>
      <c r="S141" s="239"/>
    </row>
    <row r="142" ht="22.5" hidden="1" customHeight="1" outlineLevel="1">
      <c r="A142" s="246" t="s">
        <v>701</v>
      </c>
      <c r="B142" s="240">
        <v>15.0</v>
      </c>
      <c r="D142" s="240">
        <v>15.0</v>
      </c>
      <c r="E142" s="237"/>
      <c r="F142" s="237"/>
      <c r="G142" s="238">
        <v>0.01</v>
      </c>
      <c r="J142" s="240">
        <v>13.0</v>
      </c>
      <c r="M142" s="237"/>
      <c r="R142" s="239"/>
      <c r="S142" s="239"/>
    </row>
    <row r="143" ht="22.5" hidden="1" customHeight="1" outlineLevel="1">
      <c r="A143" s="246" t="s">
        <v>702</v>
      </c>
      <c r="B143" s="240">
        <v>12.0</v>
      </c>
      <c r="D143" s="240">
        <v>16.0</v>
      </c>
      <c r="E143" s="237"/>
      <c r="F143" s="237"/>
      <c r="G143" s="237"/>
      <c r="J143" s="240">
        <v>16.0</v>
      </c>
      <c r="M143" s="237"/>
      <c r="R143" s="239"/>
      <c r="S143" s="239"/>
    </row>
    <row r="144" ht="22.5" hidden="1" customHeight="1" outlineLevel="1">
      <c r="A144" s="246" t="s">
        <v>703</v>
      </c>
      <c r="D144" s="240">
        <v>8.0</v>
      </c>
      <c r="E144" s="237"/>
      <c r="F144" s="238">
        <v>0.01</v>
      </c>
      <c r="G144" s="237"/>
      <c r="M144" s="237"/>
      <c r="R144" s="239"/>
      <c r="S144" s="239"/>
    </row>
    <row r="145" ht="22.5" hidden="1" customHeight="1" outlineLevel="1">
      <c r="A145" s="246" t="s">
        <v>704</v>
      </c>
      <c r="B145" s="240">
        <v>9.0</v>
      </c>
      <c r="D145" s="240">
        <v>24.0</v>
      </c>
      <c r="E145" s="237"/>
      <c r="F145" s="237"/>
      <c r="G145" s="237"/>
      <c r="L145" s="240">
        <v>4.0</v>
      </c>
      <c r="M145" s="237"/>
      <c r="R145" s="239"/>
      <c r="S145" s="239"/>
    </row>
    <row r="146" ht="22.5" hidden="1" customHeight="1" outlineLevel="1">
      <c r="A146" s="246" t="s">
        <v>705</v>
      </c>
      <c r="D146" s="240">
        <v>14.0</v>
      </c>
      <c r="E146" s="237"/>
      <c r="F146" s="238">
        <v>0.01</v>
      </c>
      <c r="G146" s="237"/>
      <c r="M146" s="237"/>
      <c r="R146" s="239"/>
      <c r="S146" s="239"/>
    </row>
    <row r="147" ht="22.5" hidden="1" customHeight="1" outlineLevel="1">
      <c r="A147" s="246" t="s">
        <v>706</v>
      </c>
      <c r="C147" s="240">
        <v>34.0</v>
      </c>
      <c r="E147" s="237"/>
      <c r="F147" s="237"/>
      <c r="G147" s="237"/>
      <c r="M147" s="237"/>
      <c r="R147" s="239"/>
      <c r="S147" s="239"/>
    </row>
    <row r="148" ht="22.5" hidden="1" customHeight="1" outlineLevel="1">
      <c r="A148" s="246" t="s">
        <v>707</v>
      </c>
      <c r="B148" s="240">
        <v>13.0</v>
      </c>
      <c r="E148" s="237"/>
      <c r="F148" s="237"/>
      <c r="G148" s="238">
        <v>0.01</v>
      </c>
      <c r="M148" s="237"/>
      <c r="R148" s="239"/>
      <c r="S148" s="239"/>
    </row>
    <row r="149" ht="22.5" hidden="1" customHeight="1" outlineLevel="1">
      <c r="A149" s="245"/>
      <c r="E149" s="237"/>
      <c r="F149" s="237"/>
      <c r="G149" s="237"/>
      <c r="M149" s="237"/>
      <c r="R149" s="239"/>
      <c r="S149" s="239"/>
    </row>
    <row r="150" ht="22.5" customHeight="1" collapsed="1">
      <c r="A150" s="248" t="s">
        <v>708</v>
      </c>
      <c r="E150" s="237"/>
      <c r="F150" s="237"/>
      <c r="G150" s="237"/>
      <c r="M150" s="237"/>
      <c r="R150" s="239"/>
      <c r="S150" s="239"/>
    </row>
    <row r="151" ht="22.5" hidden="1" customHeight="1" outlineLevel="1">
      <c r="A151" s="246" t="s">
        <v>709</v>
      </c>
      <c r="D151" s="240">
        <v>34.0</v>
      </c>
      <c r="E151" s="237"/>
      <c r="F151" s="238">
        <v>0.01</v>
      </c>
      <c r="G151" s="238">
        <v>0.01</v>
      </c>
      <c r="M151" s="237"/>
      <c r="R151" s="239"/>
      <c r="S151" s="239"/>
    </row>
    <row r="152" ht="22.5" hidden="1" customHeight="1" outlineLevel="1">
      <c r="A152" s="246" t="s">
        <v>710</v>
      </c>
      <c r="B152" s="240">
        <v>18.0</v>
      </c>
      <c r="E152" s="237"/>
      <c r="F152" s="238">
        <v>0.01</v>
      </c>
      <c r="G152" s="238">
        <v>0.01</v>
      </c>
      <c r="M152" s="237"/>
      <c r="R152" s="239"/>
      <c r="S152" s="239"/>
    </row>
    <row r="153" ht="22.5" hidden="1" customHeight="1" outlineLevel="1">
      <c r="A153" s="246" t="s">
        <v>711</v>
      </c>
      <c r="B153" s="240">
        <v>15.0</v>
      </c>
      <c r="D153" s="240">
        <v>15.0</v>
      </c>
      <c r="E153" s="237"/>
      <c r="F153" s="238">
        <v>0.01</v>
      </c>
      <c r="G153" s="237"/>
      <c r="J153" s="240">
        <v>12.0</v>
      </c>
      <c r="M153" s="237"/>
      <c r="R153" s="239"/>
      <c r="S153" s="239"/>
    </row>
    <row r="154" ht="22.5" hidden="1" customHeight="1" outlineLevel="1">
      <c r="A154" s="240" t="s">
        <v>712</v>
      </c>
      <c r="C154" s="240">
        <v>52.0</v>
      </c>
      <c r="E154" s="238">
        <v>0.01</v>
      </c>
      <c r="F154" s="238">
        <v>0.01</v>
      </c>
      <c r="G154" s="237"/>
      <c r="M154" s="237"/>
      <c r="R154" s="239"/>
      <c r="S154" s="239"/>
    </row>
    <row r="155" ht="22.5" hidden="1" customHeight="1" outlineLevel="1">
      <c r="A155" s="240" t="s">
        <v>713</v>
      </c>
      <c r="C155" s="240">
        <v>40.0</v>
      </c>
      <c r="E155" s="238">
        <v>0.01</v>
      </c>
      <c r="F155" s="237"/>
      <c r="G155" s="237"/>
      <c r="M155" s="237"/>
      <c r="R155" s="239"/>
      <c r="S155" s="239"/>
    </row>
    <row r="156" ht="22.5" hidden="1" customHeight="1" outlineLevel="1">
      <c r="A156" s="240" t="s">
        <v>714</v>
      </c>
      <c r="B156" s="240">
        <v>13.0</v>
      </c>
      <c r="C156" s="240"/>
      <c r="E156" s="237"/>
      <c r="F156" s="238"/>
      <c r="G156" s="237"/>
      <c r="M156" s="237"/>
      <c r="R156" s="239"/>
      <c r="S156" s="239"/>
    </row>
    <row r="157" ht="22.5" hidden="1" customHeight="1" outlineLevel="1">
      <c r="A157" s="240" t="s">
        <v>715</v>
      </c>
      <c r="C157" s="240"/>
      <c r="D157" s="240">
        <v>24.0</v>
      </c>
      <c r="E157" s="237"/>
      <c r="F157" s="238">
        <v>0.01</v>
      </c>
      <c r="G157" s="237"/>
      <c r="M157" s="237"/>
      <c r="R157" s="239"/>
      <c r="S157" s="239"/>
    </row>
    <row r="158" ht="22.5" hidden="1" customHeight="1" outlineLevel="1">
      <c r="A158" s="240" t="s">
        <v>716</v>
      </c>
      <c r="B158" s="240"/>
      <c r="C158" s="240"/>
      <c r="D158" s="240">
        <v>12.0</v>
      </c>
      <c r="E158" s="237"/>
      <c r="F158" s="238"/>
      <c r="G158" s="237"/>
      <c r="M158" s="237"/>
      <c r="R158" s="239"/>
      <c r="S158" s="239"/>
    </row>
    <row r="159" ht="22.5" hidden="1" customHeight="1" outlineLevel="1">
      <c r="A159" s="240" t="s">
        <v>717</v>
      </c>
      <c r="B159" s="240">
        <v>11.0</v>
      </c>
      <c r="C159" s="240"/>
      <c r="E159" s="237"/>
      <c r="F159" s="238"/>
      <c r="G159" s="237"/>
      <c r="M159" s="237"/>
      <c r="R159" s="239"/>
      <c r="S159" s="239"/>
    </row>
    <row r="160" ht="22.5" hidden="1" customHeight="1" outlineLevel="1">
      <c r="A160" s="240" t="s">
        <v>346</v>
      </c>
      <c r="C160" s="240">
        <v>48.0</v>
      </c>
      <c r="E160" s="237"/>
      <c r="F160" s="238">
        <v>0.01</v>
      </c>
      <c r="G160" s="237"/>
      <c r="M160" s="237"/>
      <c r="R160" s="239"/>
      <c r="S160" s="239"/>
    </row>
    <row r="161" ht="22.5" hidden="1" customHeight="1" outlineLevel="1">
      <c r="A161" s="240" t="s">
        <v>718</v>
      </c>
      <c r="C161" s="240"/>
      <c r="D161" s="240">
        <v>14.0</v>
      </c>
      <c r="E161" s="237"/>
      <c r="F161" s="237"/>
      <c r="G161" s="237"/>
      <c r="M161" s="237"/>
      <c r="R161" s="239"/>
      <c r="S161" s="239"/>
    </row>
    <row r="162" ht="22.5" hidden="1" customHeight="1" outlineLevel="1">
      <c r="A162" s="240" t="s">
        <v>719</v>
      </c>
      <c r="B162" s="240">
        <v>12.0</v>
      </c>
      <c r="C162" s="240"/>
      <c r="D162" s="240">
        <v>22.0</v>
      </c>
      <c r="E162" s="237"/>
      <c r="F162" s="237"/>
      <c r="G162" s="237"/>
      <c r="M162" s="237"/>
      <c r="R162" s="239"/>
      <c r="S162" s="239"/>
    </row>
    <row r="163" ht="22.5" hidden="1" customHeight="1" outlineLevel="1">
      <c r="A163" s="240" t="s">
        <v>720</v>
      </c>
      <c r="C163" s="240">
        <v>40.0</v>
      </c>
      <c r="E163" s="237"/>
      <c r="F163" s="237"/>
      <c r="G163" s="237"/>
      <c r="M163" s="237"/>
      <c r="R163" s="239"/>
      <c r="S163" s="239"/>
    </row>
    <row r="164" ht="22.5" hidden="1" customHeight="1" outlineLevel="1">
      <c r="A164" s="240" t="s">
        <v>344</v>
      </c>
      <c r="B164" s="240">
        <v>5.0</v>
      </c>
      <c r="C164" s="240">
        <v>30.0</v>
      </c>
      <c r="E164" s="238">
        <v>0.01</v>
      </c>
      <c r="F164" s="237"/>
      <c r="G164" s="237"/>
      <c r="M164" s="237"/>
      <c r="R164" s="239"/>
      <c r="S164" s="239"/>
    </row>
    <row r="165" ht="22.5" hidden="1" customHeight="1" outlineLevel="1">
      <c r="A165" s="240" t="s">
        <v>721</v>
      </c>
      <c r="C165" s="240">
        <v>24.0</v>
      </c>
      <c r="E165" s="238">
        <v>0.01</v>
      </c>
      <c r="F165" s="237"/>
      <c r="G165" s="237"/>
      <c r="M165" s="237"/>
      <c r="R165" s="239"/>
      <c r="S165" s="239"/>
    </row>
    <row r="166" ht="22.5" hidden="1" customHeight="1" outlineLevel="1">
      <c r="A166" s="240" t="s">
        <v>722</v>
      </c>
      <c r="C166" s="240">
        <v>16.0</v>
      </c>
      <c r="E166" s="238">
        <v>0.01</v>
      </c>
      <c r="F166" s="237"/>
      <c r="G166" s="237"/>
      <c r="M166" s="237"/>
      <c r="R166" s="239"/>
      <c r="S166" s="239"/>
    </row>
    <row r="167" ht="22.5" hidden="1" customHeight="1" outlineLevel="1">
      <c r="A167" s="240" t="s">
        <v>723</v>
      </c>
      <c r="B167" s="240">
        <v>10.0</v>
      </c>
      <c r="D167" s="240">
        <v>5.0</v>
      </c>
      <c r="E167" s="237"/>
      <c r="F167" s="238">
        <v>0.01</v>
      </c>
      <c r="G167" s="237"/>
      <c r="M167" s="237"/>
      <c r="R167" s="239"/>
      <c r="S167" s="239"/>
    </row>
    <row r="168" ht="22.5" hidden="1" customHeight="1" outlineLevel="1">
      <c r="A168" s="240" t="s">
        <v>724</v>
      </c>
      <c r="D168" s="240">
        <v>15.0</v>
      </c>
      <c r="E168" s="237"/>
      <c r="F168" s="238">
        <v>0.01</v>
      </c>
      <c r="G168" s="237"/>
      <c r="M168" s="237"/>
      <c r="R168" s="239"/>
      <c r="S168" s="239"/>
    </row>
    <row r="169" ht="22.5" hidden="1" customHeight="1" outlineLevel="1">
      <c r="A169" s="240" t="s">
        <v>725</v>
      </c>
      <c r="C169" s="240">
        <v>20.0</v>
      </c>
      <c r="E169" s="237"/>
      <c r="F169" s="238">
        <v>0.01</v>
      </c>
      <c r="G169" s="237"/>
      <c r="M169" s="237"/>
      <c r="R169" s="239"/>
      <c r="S169" s="239"/>
    </row>
    <row r="170" ht="22.5" hidden="1" customHeight="1" outlineLevel="1">
      <c r="A170" s="250" t="s">
        <v>726</v>
      </c>
      <c r="B170" s="251"/>
      <c r="C170" s="251"/>
      <c r="D170" s="251"/>
      <c r="E170" s="252"/>
      <c r="F170" s="252"/>
      <c r="G170" s="252"/>
      <c r="H170" s="251"/>
      <c r="I170" s="251"/>
      <c r="J170" s="253">
        <v>6.0</v>
      </c>
      <c r="K170" s="251"/>
      <c r="L170" s="251"/>
      <c r="M170" s="252"/>
      <c r="N170" s="251"/>
      <c r="O170" s="253">
        <v>37.0</v>
      </c>
      <c r="P170" s="251"/>
      <c r="Q170" s="251"/>
      <c r="R170" s="254"/>
      <c r="S170" s="255">
        <v>0.01</v>
      </c>
    </row>
    <row r="171" ht="22.5" hidden="1" customHeight="1" outlineLevel="1">
      <c r="A171" s="256" t="s">
        <v>727</v>
      </c>
      <c r="B171" s="257"/>
      <c r="C171" s="257"/>
      <c r="D171" s="257"/>
      <c r="E171" s="258"/>
      <c r="F171" s="258"/>
      <c r="G171" s="258"/>
      <c r="H171" s="257"/>
      <c r="I171" s="257"/>
      <c r="J171" s="259">
        <v>11.0</v>
      </c>
      <c r="K171" s="257"/>
      <c r="L171" s="257"/>
      <c r="M171" s="258"/>
      <c r="N171" s="257"/>
      <c r="O171" s="259">
        <v>29.0</v>
      </c>
      <c r="P171" s="257"/>
      <c r="Q171" s="257"/>
      <c r="R171" s="260">
        <v>0.02</v>
      </c>
      <c r="S171" s="261"/>
    </row>
    <row r="172" ht="22.5" hidden="1" customHeight="1" outlineLevel="1">
      <c r="A172" s="240" t="s">
        <v>173</v>
      </c>
      <c r="E172" s="237"/>
      <c r="F172" s="237"/>
      <c r="G172" s="237"/>
      <c r="M172" s="237"/>
      <c r="R172" s="239"/>
      <c r="S172" s="239"/>
    </row>
    <row r="173" ht="22.5" customHeight="1" collapsed="1">
      <c r="A173" s="236" t="s">
        <v>728</v>
      </c>
      <c r="E173" s="237"/>
      <c r="F173" s="237"/>
      <c r="G173" s="237"/>
      <c r="M173" s="237"/>
      <c r="R173" s="239"/>
      <c r="S173" s="239"/>
    </row>
    <row r="174" ht="22.5" hidden="1" customHeight="1" outlineLevel="1">
      <c r="A174" s="240" t="s">
        <v>729</v>
      </c>
      <c r="C174" s="240">
        <v>84.0</v>
      </c>
      <c r="E174" s="237"/>
      <c r="F174" s="237"/>
      <c r="G174" s="237"/>
      <c r="M174" s="237"/>
      <c r="R174" s="239"/>
      <c r="S174" s="239"/>
    </row>
    <row r="175" ht="22.5" hidden="1" customHeight="1" outlineLevel="1">
      <c r="A175" s="240" t="s">
        <v>730</v>
      </c>
      <c r="C175" s="240">
        <v>150.0</v>
      </c>
      <c r="E175" s="237"/>
      <c r="F175" s="237"/>
      <c r="G175" s="237"/>
      <c r="M175" s="237"/>
      <c r="R175" s="239"/>
      <c r="S175" s="239"/>
    </row>
    <row r="176" ht="22.5" hidden="1" customHeight="1" outlineLevel="1">
      <c r="A176" s="240" t="s">
        <v>186</v>
      </c>
      <c r="C176" s="240">
        <v>64.0</v>
      </c>
      <c r="E176" s="237"/>
      <c r="F176" s="237"/>
      <c r="G176" s="237"/>
      <c r="M176" s="237"/>
      <c r="R176" s="239"/>
      <c r="S176" s="239"/>
    </row>
    <row r="177" ht="22.5" hidden="1" customHeight="1" outlineLevel="1">
      <c r="A177" s="240" t="s">
        <v>183</v>
      </c>
      <c r="E177" s="238">
        <v>0.01</v>
      </c>
      <c r="F177" s="238">
        <v>0.01</v>
      </c>
      <c r="G177" s="237"/>
      <c r="M177" s="237"/>
      <c r="R177" s="239"/>
      <c r="S177" s="239"/>
    </row>
    <row r="178" ht="22.5" hidden="1" customHeight="1" outlineLevel="1">
      <c r="A178" s="240" t="s">
        <v>731</v>
      </c>
      <c r="E178" s="237"/>
      <c r="F178" s="237"/>
      <c r="G178" s="237"/>
      <c r="M178" s="237"/>
      <c r="R178" s="239"/>
      <c r="S178" s="239"/>
    </row>
    <row r="179" ht="22.5" hidden="1" customHeight="1" outlineLevel="1">
      <c r="A179" s="240" t="s">
        <v>350</v>
      </c>
      <c r="E179" s="238">
        <v>0.02</v>
      </c>
      <c r="F179" s="237"/>
      <c r="G179" s="238">
        <v>0.02</v>
      </c>
      <c r="M179" s="237"/>
      <c r="R179" s="239"/>
      <c r="S179" s="239"/>
    </row>
    <row r="180" ht="22.5" hidden="1" customHeight="1" outlineLevel="1">
      <c r="A180" s="240" t="s">
        <v>188</v>
      </c>
      <c r="E180" s="237"/>
      <c r="F180" s="237"/>
      <c r="G180" s="237"/>
      <c r="M180" s="237"/>
      <c r="R180" s="239"/>
      <c r="S180" s="239"/>
    </row>
    <row r="181" ht="22.5" hidden="1" customHeight="1" outlineLevel="1">
      <c r="A181" s="240" t="s">
        <v>348</v>
      </c>
      <c r="E181" s="238">
        <v>0.02</v>
      </c>
      <c r="F181" s="237"/>
      <c r="G181" s="237"/>
      <c r="M181" s="237"/>
      <c r="R181" s="239"/>
      <c r="S181" s="239"/>
    </row>
    <row r="182" ht="22.5" hidden="1" customHeight="1" outlineLevel="1">
      <c r="A182" s="240" t="s">
        <v>732</v>
      </c>
      <c r="E182" s="237"/>
      <c r="F182" s="238">
        <v>0.01</v>
      </c>
      <c r="G182" s="237"/>
      <c r="I182" s="240">
        <v>40.0</v>
      </c>
      <c r="M182" s="237"/>
      <c r="R182" s="239"/>
      <c r="S182" s="239"/>
    </row>
    <row r="183" ht="22.5" hidden="1" customHeight="1" outlineLevel="1">
      <c r="A183" s="240" t="s">
        <v>733</v>
      </c>
      <c r="E183" s="237"/>
      <c r="F183" s="237"/>
      <c r="G183" s="237"/>
      <c r="M183" s="237"/>
      <c r="O183" s="240">
        <v>40.0</v>
      </c>
      <c r="R183" s="239"/>
      <c r="S183" s="239"/>
    </row>
    <row r="184" ht="22.5" hidden="1" customHeight="1" outlineLevel="1">
      <c r="A184" s="240" t="s">
        <v>734</v>
      </c>
      <c r="E184" s="237"/>
      <c r="F184" s="237"/>
      <c r="G184" s="237"/>
      <c r="M184" s="237"/>
      <c r="O184" s="240">
        <v>44.0</v>
      </c>
      <c r="R184" s="239"/>
      <c r="S184" s="243">
        <v>0.02</v>
      </c>
    </row>
    <row r="185" ht="22.5" hidden="1" customHeight="1" outlineLevel="1">
      <c r="A185" s="240" t="s">
        <v>735</v>
      </c>
      <c r="E185" s="237"/>
      <c r="F185" s="237"/>
      <c r="G185" s="237"/>
      <c r="M185" s="237"/>
      <c r="R185" s="243">
        <v>0.03</v>
      </c>
      <c r="S185" s="239"/>
    </row>
    <row r="186" ht="22.5" hidden="1" customHeight="1" outlineLevel="1">
      <c r="E186" s="237"/>
      <c r="F186" s="237"/>
      <c r="G186" s="237"/>
      <c r="M186" s="237"/>
      <c r="R186" s="239"/>
      <c r="S186" s="239"/>
    </row>
    <row r="187" ht="22.5" hidden="1" customHeight="1" outlineLevel="1">
      <c r="E187" s="237"/>
      <c r="F187" s="237"/>
      <c r="G187" s="237"/>
      <c r="M187" s="237"/>
      <c r="R187" s="239"/>
      <c r="S187" s="239"/>
    </row>
    <row r="188" ht="22.5" hidden="1" customHeight="1" outlineLevel="1">
      <c r="E188" s="237"/>
      <c r="F188" s="237"/>
      <c r="G188" s="237"/>
      <c r="M188" s="237"/>
      <c r="R188" s="239"/>
      <c r="S188" s="239"/>
    </row>
    <row r="189" ht="22.5" customHeight="1">
      <c r="A189" s="236" t="s">
        <v>736</v>
      </c>
      <c r="E189" s="237"/>
      <c r="F189" s="237"/>
      <c r="G189" s="237"/>
      <c r="M189" s="237"/>
      <c r="R189" s="239"/>
      <c r="S189" s="239"/>
    </row>
    <row r="190" ht="22.5" customHeight="1" collapsed="1">
      <c r="A190" s="236"/>
      <c r="B190" s="240"/>
      <c r="D190" s="240"/>
      <c r="E190" s="237"/>
      <c r="F190" s="237"/>
      <c r="G190" s="237"/>
      <c r="I190" s="240"/>
      <c r="M190" s="237"/>
      <c r="R190" s="239"/>
      <c r="S190" s="239"/>
    </row>
    <row r="191" ht="22.5" hidden="1" customHeight="1" outlineLevel="1">
      <c r="A191" s="240" t="s">
        <v>737</v>
      </c>
      <c r="B191" s="240">
        <v>45.0</v>
      </c>
      <c r="D191" s="240">
        <v>25.0</v>
      </c>
      <c r="E191" s="237"/>
      <c r="F191" s="237"/>
      <c r="G191" s="237"/>
      <c r="I191" s="240">
        <v>75.0</v>
      </c>
      <c r="M191" s="237"/>
      <c r="R191" s="239"/>
      <c r="S191" s="239"/>
    </row>
    <row r="192" ht="22.5" hidden="1" customHeight="1" outlineLevel="1">
      <c r="A192" s="240" t="s">
        <v>738</v>
      </c>
      <c r="D192" s="240">
        <v>40.0</v>
      </c>
      <c r="E192" s="237"/>
      <c r="F192" s="237"/>
      <c r="G192" s="238">
        <v>0.02</v>
      </c>
      <c r="M192" s="237"/>
      <c r="R192" s="239"/>
      <c r="S192" s="239"/>
    </row>
    <row r="193" ht="22.5" hidden="1" customHeight="1" outlineLevel="1">
      <c r="A193" s="240" t="s">
        <v>739</v>
      </c>
      <c r="B193" s="240">
        <v>20.0</v>
      </c>
      <c r="E193" s="238">
        <v>0.02</v>
      </c>
      <c r="F193" s="237"/>
      <c r="G193" s="237"/>
      <c r="M193" s="237"/>
      <c r="R193" s="239"/>
      <c r="S193" s="239"/>
    </row>
    <row r="194" ht="22.5" hidden="1" customHeight="1" outlineLevel="1">
      <c r="A194" s="240" t="s">
        <v>740</v>
      </c>
      <c r="B194" s="240">
        <v>12.0</v>
      </c>
      <c r="E194" s="238"/>
      <c r="F194" s="237"/>
      <c r="G194" s="237"/>
      <c r="M194" s="237"/>
      <c r="R194" s="239"/>
      <c r="S194" s="239"/>
    </row>
    <row r="195" ht="22.5" hidden="1" customHeight="1" outlineLevel="1">
      <c r="A195" s="240" t="s">
        <v>352</v>
      </c>
      <c r="B195" s="240">
        <v>43.0</v>
      </c>
      <c r="E195" s="238">
        <v>0.02</v>
      </c>
      <c r="F195" s="237"/>
      <c r="G195" s="237"/>
      <c r="M195" s="237"/>
      <c r="R195" s="239"/>
      <c r="S195" s="239"/>
    </row>
    <row r="196" ht="22.5" hidden="1" customHeight="1" outlineLevel="1">
      <c r="A196" s="240" t="s">
        <v>741</v>
      </c>
      <c r="B196" s="240">
        <v>35.0</v>
      </c>
      <c r="D196" s="240">
        <v>19.0</v>
      </c>
      <c r="E196" s="237"/>
      <c r="F196" s="237"/>
      <c r="G196" s="237"/>
      <c r="M196" s="237"/>
      <c r="R196" s="239"/>
      <c r="S196" s="239"/>
    </row>
    <row r="197" ht="22.5" hidden="1" customHeight="1" outlineLevel="1">
      <c r="A197" s="240" t="s">
        <v>742</v>
      </c>
      <c r="B197" s="240">
        <v>21.0</v>
      </c>
      <c r="D197" s="240"/>
      <c r="E197" s="237"/>
      <c r="F197" s="237"/>
      <c r="G197" s="237"/>
      <c r="M197" s="237"/>
      <c r="R197" s="239"/>
      <c r="S197" s="239"/>
    </row>
    <row r="198" ht="22.5" hidden="1" customHeight="1" outlineLevel="1">
      <c r="A198" s="240" t="s">
        <v>743</v>
      </c>
      <c r="D198" s="240">
        <v>28.0</v>
      </c>
      <c r="E198" s="237"/>
      <c r="F198" s="237"/>
      <c r="G198" s="237"/>
      <c r="M198" s="237"/>
      <c r="R198" s="239"/>
      <c r="S198" s="239"/>
    </row>
    <row r="199" ht="22.5" hidden="1" customHeight="1" outlineLevel="1">
      <c r="A199" s="240" t="s">
        <v>744</v>
      </c>
      <c r="B199" s="240">
        <v>17.0</v>
      </c>
      <c r="E199" s="237"/>
      <c r="F199" s="237"/>
      <c r="G199" s="237"/>
      <c r="H199" s="240">
        <v>8.0</v>
      </c>
      <c r="M199" s="237"/>
      <c r="R199" s="239"/>
      <c r="S199" s="239"/>
    </row>
    <row r="200" ht="22.5" hidden="1" customHeight="1" outlineLevel="1">
      <c r="A200" s="240" t="s">
        <v>745</v>
      </c>
      <c r="B200" s="240">
        <v>25.0</v>
      </c>
      <c r="E200" s="237"/>
      <c r="F200" s="237"/>
      <c r="G200" s="237"/>
      <c r="M200" s="237"/>
      <c r="R200" s="239"/>
      <c r="S200" s="239"/>
    </row>
    <row r="201" ht="22.5" hidden="1" customHeight="1" outlineLevel="1">
      <c r="A201" s="240" t="s">
        <v>746</v>
      </c>
      <c r="E201" s="237"/>
      <c r="F201" s="237"/>
      <c r="G201" s="237"/>
      <c r="M201" s="237"/>
      <c r="R201" s="239"/>
      <c r="S201" s="239"/>
    </row>
    <row r="202" ht="22.5" hidden="1" customHeight="1" outlineLevel="1">
      <c r="A202" s="240" t="s">
        <v>747</v>
      </c>
      <c r="B202" s="240">
        <v>19.0</v>
      </c>
      <c r="E202" s="238">
        <v>0.02</v>
      </c>
      <c r="F202" s="237"/>
      <c r="G202" s="237"/>
      <c r="I202" s="240"/>
      <c r="M202" s="237"/>
      <c r="R202" s="239"/>
      <c r="S202" s="239"/>
    </row>
    <row r="203" ht="22.5" hidden="1" customHeight="1" outlineLevel="1">
      <c r="A203" s="240" t="s">
        <v>748</v>
      </c>
      <c r="B203" s="240">
        <v>35.0</v>
      </c>
      <c r="E203" s="238">
        <v>0.01</v>
      </c>
      <c r="F203" s="237"/>
      <c r="G203" s="237"/>
      <c r="I203" s="240"/>
      <c r="M203" s="237"/>
      <c r="R203" s="239"/>
      <c r="S203" s="239"/>
    </row>
    <row r="204" ht="22.5" hidden="1" customHeight="1" outlineLevel="1">
      <c r="A204" s="240" t="s">
        <v>749</v>
      </c>
      <c r="C204" s="240">
        <v>62.0</v>
      </c>
      <c r="E204" s="238"/>
      <c r="F204" s="237"/>
      <c r="G204" s="237"/>
      <c r="I204" s="240"/>
      <c r="M204" s="237"/>
      <c r="R204" s="239"/>
      <c r="S204" s="239"/>
    </row>
    <row r="205" ht="22.5" hidden="1" customHeight="1" outlineLevel="1">
      <c r="A205" s="240" t="s">
        <v>750</v>
      </c>
      <c r="C205" s="240">
        <v>36.0</v>
      </c>
      <c r="E205" s="238">
        <v>0.01</v>
      </c>
      <c r="F205" s="237"/>
      <c r="G205" s="237"/>
      <c r="I205" s="240"/>
      <c r="M205" s="237"/>
      <c r="R205" s="239"/>
      <c r="S205" s="239"/>
    </row>
    <row r="206" ht="22.5" hidden="1" customHeight="1" outlineLevel="1">
      <c r="A206" s="242" t="s">
        <v>149</v>
      </c>
      <c r="E206" s="238"/>
      <c r="F206" s="237"/>
      <c r="G206" s="237"/>
      <c r="I206" s="240"/>
      <c r="M206" s="237"/>
      <c r="R206" s="239"/>
      <c r="S206" s="239"/>
    </row>
    <row r="207" ht="22.5" customHeight="1" collapsed="1">
      <c r="A207" s="236"/>
      <c r="E207" s="238"/>
      <c r="F207" s="237"/>
      <c r="G207" s="237"/>
      <c r="I207" s="240"/>
      <c r="M207" s="237"/>
      <c r="R207" s="239"/>
      <c r="S207" s="239"/>
    </row>
    <row r="208" ht="22.5" hidden="1" customHeight="1" outlineLevel="1">
      <c r="A208" s="240" t="s">
        <v>751</v>
      </c>
      <c r="E208" s="238">
        <v>0.02</v>
      </c>
      <c r="F208" s="237"/>
      <c r="G208" s="237"/>
      <c r="I208" s="240">
        <v>35.0</v>
      </c>
      <c r="M208" s="237"/>
      <c r="R208" s="239"/>
      <c r="S208" s="239"/>
    </row>
    <row r="209" ht="22.5" hidden="1" customHeight="1" outlineLevel="1">
      <c r="A209" s="240" t="s">
        <v>752</v>
      </c>
      <c r="E209" s="237"/>
      <c r="F209" s="237"/>
      <c r="G209" s="237"/>
      <c r="M209" s="237"/>
      <c r="R209" s="239"/>
      <c r="S209" s="239"/>
    </row>
    <row r="210" ht="22.5" hidden="1" customHeight="1" outlineLevel="1">
      <c r="A210" s="240" t="s">
        <v>753</v>
      </c>
      <c r="C210" s="240">
        <v>22.0</v>
      </c>
      <c r="E210" s="238">
        <v>0.01</v>
      </c>
      <c r="F210" s="238">
        <v>0.01</v>
      </c>
      <c r="G210" s="237"/>
      <c r="M210" s="237"/>
      <c r="R210" s="239"/>
      <c r="S210" s="239"/>
    </row>
    <row r="211" ht="22.5" hidden="1" customHeight="1" outlineLevel="1">
      <c r="A211" s="240" t="s">
        <v>754</v>
      </c>
      <c r="C211" s="240">
        <v>36.0</v>
      </c>
      <c r="E211" s="238">
        <v>0.01</v>
      </c>
      <c r="F211" s="237"/>
      <c r="G211" s="237"/>
      <c r="M211" s="237"/>
      <c r="R211" s="239"/>
      <c r="S211" s="239"/>
    </row>
    <row r="212" ht="22.5" hidden="1" customHeight="1" outlineLevel="1">
      <c r="A212" s="240" t="s">
        <v>755</v>
      </c>
      <c r="C212" s="240">
        <v>26.0</v>
      </c>
      <c r="E212" s="237"/>
      <c r="F212" s="237"/>
      <c r="G212" s="237"/>
      <c r="H212" s="240">
        <v>5.0</v>
      </c>
      <c r="M212" s="237"/>
      <c r="R212" s="239"/>
      <c r="S212" s="239"/>
    </row>
    <row r="213" ht="22.5" hidden="1" customHeight="1" outlineLevel="1">
      <c r="A213" s="240" t="s">
        <v>756</v>
      </c>
      <c r="B213" s="240">
        <v>10.0</v>
      </c>
      <c r="E213" s="237"/>
      <c r="F213" s="237"/>
      <c r="G213" s="237"/>
      <c r="M213" s="237"/>
      <c r="R213" s="239"/>
      <c r="S213" s="239"/>
    </row>
    <row r="214" ht="22.5" hidden="1" customHeight="1" outlineLevel="1">
      <c r="A214" s="240" t="s">
        <v>757</v>
      </c>
      <c r="C214" s="240">
        <v>14.0</v>
      </c>
      <c r="E214" s="238">
        <v>0.01</v>
      </c>
      <c r="F214" s="237"/>
      <c r="G214" s="237"/>
      <c r="J214" s="240">
        <v>10.0</v>
      </c>
      <c r="M214" s="237"/>
      <c r="R214" s="239"/>
      <c r="S214" s="239"/>
    </row>
    <row r="215" ht="22.5" hidden="1" customHeight="1" outlineLevel="1">
      <c r="A215" s="240" t="s">
        <v>758</v>
      </c>
      <c r="B215" s="240"/>
      <c r="C215" s="240"/>
      <c r="E215" s="237"/>
      <c r="F215" s="237"/>
      <c r="G215" s="237"/>
      <c r="H215" s="240"/>
      <c r="M215" s="237"/>
      <c r="R215" s="239"/>
      <c r="S215" s="239"/>
    </row>
    <row r="216" ht="22.5" hidden="1" customHeight="1" outlineLevel="1">
      <c r="A216" s="240" t="s">
        <v>759</v>
      </c>
      <c r="B216" s="240"/>
      <c r="C216" s="240">
        <v>36.0</v>
      </c>
      <c r="E216" s="237"/>
      <c r="F216" s="237"/>
      <c r="G216" s="237"/>
      <c r="H216" s="240"/>
      <c r="M216" s="237"/>
      <c r="R216" s="239"/>
      <c r="S216" s="239"/>
    </row>
    <row r="217" ht="22.5" hidden="1" customHeight="1" outlineLevel="1">
      <c r="A217" s="240" t="s">
        <v>760</v>
      </c>
      <c r="B217" s="240">
        <v>9.0</v>
      </c>
      <c r="E217" s="237"/>
      <c r="F217" s="237"/>
      <c r="G217" s="237"/>
      <c r="H217" s="240">
        <v>5.0</v>
      </c>
      <c r="M217" s="237"/>
      <c r="R217" s="239"/>
      <c r="S217" s="239"/>
    </row>
    <row r="218" ht="22.5" hidden="1" customHeight="1" outlineLevel="1">
      <c r="A218" s="240" t="s">
        <v>761</v>
      </c>
      <c r="B218" s="240">
        <v>13.0</v>
      </c>
      <c r="E218" s="238">
        <v>0.01</v>
      </c>
      <c r="F218" s="237"/>
      <c r="G218" s="237"/>
      <c r="M218" s="237"/>
      <c r="R218" s="239"/>
      <c r="S218" s="239"/>
    </row>
    <row r="219" ht="22.5" hidden="1" customHeight="1" outlineLevel="1">
      <c r="A219" s="240" t="s">
        <v>762</v>
      </c>
      <c r="B219" s="240">
        <v>9.0</v>
      </c>
      <c r="D219" s="240">
        <v>12.0</v>
      </c>
      <c r="E219" s="237"/>
      <c r="F219" s="237"/>
      <c r="G219" s="237"/>
      <c r="H219" s="240">
        <v>4.0</v>
      </c>
      <c r="M219" s="237"/>
      <c r="R219" s="239"/>
      <c r="S219" s="239"/>
    </row>
    <row r="220" ht="22.5" hidden="1" customHeight="1" outlineLevel="1">
      <c r="A220" s="240" t="s">
        <v>763</v>
      </c>
      <c r="C220" s="240"/>
      <c r="E220" s="238"/>
      <c r="F220" s="237"/>
      <c r="G220" s="237"/>
      <c r="M220" s="237"/>
      <c r="R220" s="239"/>
      <c r="S220" s="239"/>
    </row>
    <row r="221" ht="22.5" hidden="1" customHeight="1" outlineLevel="1">
      <c r="A221" s="240" t="s">
        <v>764</v>
      </c>
      <c r="C221" s="240">
        <v>22.0</v>
      </c>
      <c r="E221" s="238">
        <v>0.01</v>
      </c>
      <c r="F221" s="237"/>
      <c r="G221" s="237"/>
      <c r="M221" s="237"/>
      <c r="R221" s="239"/>
      <c r="S221" s="239"/>
    </row>
    <row r="222" ht="22.5" hidden="1" customHeight="1" outlineLevel="1">
      <c r="E222" s="237"/>
      <c r="F222" s="237"/>
      <c r="G222" s="237"/>
      <c r="M222" s="237"/>
      <c r="R222" s="239"/>
      <c r="S222" s="239"/>
    </row>
    <row r="223" ht="22.5" customHeight="1">
      <c r="E223" s="237"/>
      <c r="F223" s="237"/>
      <c r="G223" s="237"/>
      <c r="M223" s="237"/>
      <c r="R223" s="239"/>
      <c r="S223" s="239"/>
    </row>
    <row r="224" ht="22.5" customHeight="1">
      <c r="E224" s="237"/>
      <c r="F224" s="237"/>
      <c r="G224" s="237"/>
      <c r="M224" s="237"/>
      <c r="R224" s="239"/>
      <c r="S224" s="239"/>
    </row>
    <row r="225" ht="22.5" customHeight="1">
      <c r="E225" s="237"/>
      <c r="F225" s="237"/>
      <c r="G225" s="237"/>
      <c r="M225" s="237"/>
      <c r="R225" s="239"/>
      <c r="S225" s="239"/>
    </row>
    <row r="226" ht="22.5" customHeight="1">
      <c r="E226" s="237"/>
      <c r="F226" s="237"/>
      <c r="G226" s="237"/>
      <c r="M226" s="237"/>
      <c r="R226" s="239"/>
      <c r="S226" s="239"/>
    </row>
    <row r="227" ht="22.5" customHeight="1">
      <c r="E227" s="237"/>
      <c r="F227" s="237"/>
      <c r="G227" s="237"/>
      <c r="M227" s="237"/>
      <c r="R227" s="239"/>
      <c r="S227" s="239"/>
    </row>
    <row r="228" ht="22.5" customHeight="1">
      <c r="E228" s="237"/>
      <c r="F228" s="237"/>
      <c r="G228" s="237"/>
      <c r="M228" s="237"/>
      <c r="R228" s="239"/>
      <c r="S228" s="239"/>
    </row>
    <row r="229" ht="22.5" customHeight="1">
      <c r="E229" s="237"/>
      <c r="F229" s="237"/>
      <c r="G229" s="237"/>
      <c r="M229" s="237"/>
      <c r="R229" s="239"/>
      <c r="S229" s="239"/>
    </row>
    <row r="230" ht="22.5" customHeight="1">
      <c r="E230" s="237"/>
      <c r="F230" s="237"/>
      <c r="G230" s="237"/>
      <c r="M230" s="237"/>
      <c r="R230" s="239"/>
      <c r="S230" s="239"/>
    </row>
    <row r="231" ht="22.5" customHeight="1">
      <c r="E231" s="237"/>
      <c r="F231" s="237"/>
      <c r="G231" s="237"/>
      <c r="M231" s="237"/>
      <c r="R231" s="239"/>
      <c r="S231" s="239"/>
    </row>
    <row r="232">
      <c r="E232" s="262"/>
      <c r="F232" s="262"/>
      <c r="G232" s="262"/>
      <c r="M232" s="262"/>
      <c r="R232" s="18"/>
      <c r="S232" s="18"/>
    </row>
    <row r="233">
      <c r="E233" s="262"/>
      <c r="F233" s="262"/>
      <c r="G233" s="262"/>
      <c r="M233" s="262"/>
      <c r="R233" s="18"/>
      <c r="S233" s="18"/>
    </row>
    <row r="234">
      <c r="E234" s="262"/>
      <c r="F234" s="262"/>
      <c r="G234" s="262"/>
      <c r="M234" s="262"/>
      <c r="R234" s="18"/>
      <c r="S234" s="18"/>
    </row>
    <row r="235">
      <c r="E235" s="262"/>
      <c r="F235" s="262"/>
      <c r="G235" s="262"/>
      <c r="M235" s="262"/>
      <c r="R235" s="18"/>
      <c r="S235" s="18"/>
    </row>
    <row r="236">
      <c r="E236" s="262"/>
      <c r="F236" s="262"/>
      <c r="G236" s="262"/>
      <c r="M236" s="262"/>
      <c r="R236" s="18"/>
      <c r="S236" s="18"/>
    </row>
    <row r="237">
      <c r="E237" s="262"/>
      <c r="F237" s="262"/>
      <c r="G237" s="262"/>
      <c r="M237" s="262"/>
      <c r="R237" s="18"/>
      <c r="S237" s="18"/>
    </row>
    <row r="238">
      <c r="E238" s="262"/>
      <c r="F238" s="262"/>
      <c r="G238" s="262"/>
      <c r="M238" s="262"/>
      <c r="R238" s="18"/>
      <c r="S238" s="18"/>
    </row>
    <row r="239">
      <c r="E239" s="262"/>
      <c r="F239" s="262"/>
      <c r="G239" s="262"/>
      <c r="M239" s="262"/>
      <c r="R239" s="18"/>
      <c r="S239" s="18"/>
    </row>
    <row r="240">
      <c r="E240" s="18"/>
      <c r="F240" s="18"/>
      <c r="G240" s="263"/>
      <c r="M240" s="263"/>
      <c r="R240" s="18"/>
      <c r="S240" s="264"/>
    </row>
    <row r="241">
      <c r="E241" s="18"/>
      <c r="F241" s="18"/>
      <c r="G241" s="263"/>
      <c r="M241" s="263"/>
      <c r="R241" s="18"/>
      <c r="S241" s="264"/>
    </row>
    <row r="242">
      <c r="E242" s="18"/>
      <c r="F242" s="18"/>
      <c r="G242" s="263"/>
      <c r="M242" s="263"/>
      <c r="R242" s="18"/>
      <c r="S242" s="18"/>
    </row>
    <row r="243">
      <c r="E243" s="18"/>
      <c r="F243" s="18"/>
      <c r="G243" s="263"/>
      <c r="M243" s="263"/>
      <c r="R243" s="18"/>
      <c r="S243" s="18"/>
    </row>
    <row r="244">
      <c r="E244" s="18"/>
      <c r="F244" s="18"/>
      <c r="G244" s="263"/>
      <c r="M244" s="263"/>
      <c r="R244" s="18"/>
      <c r="S244" s="18"/>
    </row>
    <row r="245">
      <c r="E245" s="18"/>
      <c r="F245" s="18"/>
      <c r="G245" s="263"/>
      <c r="M245" s="263"/>
      <c r="R245" s="18"/>
      <c r="S245" s="18"/>
    </row>
    <row r="246">
      <c r="E246" s="18"/>
      <c r="F246" s="18"/>
      <c r="G246" s="263"/>
      <c r="M246" s="263"/>
      <c r="R246" s="18"/>
      <c r="S246" s="18"/>
    </row>
    <row r="247">
      <c r="E247" s="18"/>
      <c r="F247" s="18"/>
      <c r="G247" s="263"/>
      <c r="M247" s="263"/>
      <c r="R247" s="18"/>
      <c r="S247" s="18"/>
    </row>
    <row r="248">
      <c r="E248" s="18"/>
      <c r="F248" s="18"/>
      <c r="G248" s="263"/>
      <c r="M248" s="263"/>
      <c r="R248" s="18"/>
      <c r="S248" s="18"/>
    </row>
    <row r="249">
      <c r="E249" s="18"/>
      <c r="F249" s="18"/>
      <c r="G249" s="263"/>
      <c r="M249" s="263"/>
      <c r="R249" s="18"/>
      <c r="S249" s="18"/>
    </row>
    <row r="250">
      <c r="E250" s="18"/>
      <c r="F250" s="18"/>
      <c r="G250" s="263"/>
      <c r="M250" s="263"/>
      <c r="R250" s="18"/>
      <c r="S250" s="18"/>
    </row>
    <row r="251">
      <c r="E251" s="18"/>
      <c r="F251" s="18"/>
      <c r="G251" s="263"/>
      <c r="M251" s="263"/>
      <c r="R251" s="18"/>
      <c r="S251" s="18"/>
    </row>
    <row r="252">
      <c r="E252" s="18"/>
      <c r="F252" s="18"/>
      <c r="G252" s="263"/>
      <c r="M252" s="263"/>
      <c r="R252" s="18"/>
      <c r="S252" s="18"/>
    </row>
    <row r="253">
      <c r="E253" s="18"/>
      <c r="F253" s="18"/>
      <c r="G253" s="263"/>
      <c r="M253" s="263"/>
      <c r="R253" s="18"/>
      <c r="S253" s="18"/>
    </row>
    <row r="254">
      <c r="E254" s="18"/>
      <c r="F254" s="18"/>
      <c r="G254" s="263"/>
      <c r="M254" s="263"/>
      <c r="R254" s="18"/>
      <c r="S254" s="18"/>
    </row>
    <row r="255">
      <c r="E255" s="18"/>
      <c r="F255" s="18"/>
      <c r="G255" s="263"/>
      <c r="M255" s="263"/>
      <c r="R255" s="18"/>
      <c r="S255" s="18"/>
    </row>
    <row r="256">
      <c r="E256" s="18"/>
      <c r="F256" s="18"/>
      <c r="G256" s="263"/>
      <c r="M256" s="263"/>
      <c r="R256" s="18"/>
      <c r="S256" s="18"/>
    </row>
    <row r="257">
      <c r="E257" s="18"/>
      <c r="F257" s="18"/>
      <c r="G257" s="263"/>
      <c r="M257" s="263"/>
      <c r="R257" s="18"/>
      <c r="S257" s="18"/>
    </row>
    <row r="258">
      <c r="E258" s="18"/>
      <c r="F258" s="18"/>
      <c r="G258" s="263"/>
      <c r="M258" s="263"/>
      <c r="R258" s="18"/>
      <c r="S258" s="18"/>
    </row>
    <row r="259">
      <c r="E259" s="18"/>
      <c r="F259" s="18"/>
      <c r="G259" s="263"/>
      <c r="M259" s="263"/>
      <c r="R259" s="18"/>
      <c r="S259" s="18"/>
    </row>
    <row r="260">
      <c r="E260" s="18"/>
      <c r="F260" s="18"/>
      <c r="G260" s="263"/>
      <c r="M260" s="263"/>
      <c r="R260" s="18"/>
      <c r="S260" s="18"/>
    </row>
    <row r="261">
      <c r="E261" s="18"/>
      <c r="F261" s="18"/>
      <c r="G261" s="263"/>
      <c r="M261" s="263"/>
      <c r="R261" s="18"/>
      <c r="S261" s="18"/>
    </row>
    <row r="262">
      <c r="E262" s="18"/>
      <c r="F262" s="18"/>
      <c r="G262" s="263"/>
      <c r="M262" s="263"/>
      <c r="R262" s="18"/>
      <c r="S262" s="18"/>
    </row>
    <row r="263">
      <c r="E263" s="18"/>
      <c r="F263" s="18"/>
      <c r="G263" s="263"/>
      <c r="M263" s="263"/>
      <c r="R263" s="18"/>
      <c r="S263" s="18"/>
    </row>
    <row r="264">
      <c r="E264" s="18"/>
      <c r="F264" s="18"/>
      <c r="G264" s="263"/>
      <c r="M264" s="263"/>
      <c r="R264" s="18"/>
      <c r="S264" s="18"/>
    </row>
    <row r="265">
      <c r="E265" s="18"/>
      <c r="F265" s="18"/>
      <c r="G265" s="263"/>
      <c r="M265" s="263"/>
      <c r="R265" s="18"/>
      <c r="S265" s="18"/>
    </row>
    <row r="266">
      <c r="E266" s="18"/>
      <c r="F266" s="18"/>
      <c r="G266" s="263"/>
      <c r="M266" s="263"/>
      <c r="R266" s="18"/>
      <c r="S266" s="18"/>
    </row>
    <row r="267">
      <c r="E267" s="18"/>
      <c r="F267" s="18"/>
      <c r="G267" s="263"/>
      <c r="M267" s="263"/>
      <c r="R267" s="18"/>
      <c r="S267" s="18"/>
    </row>
    <row r="268">
      <c r="E268" s="18"/>
      <c r="F268" s="18"/>
      <c r="G268" s="263"/>
      <c r="M268" s="263"/>
      <c r="R268" s="18"/>
      <c r="S268" s="18"/>
    </row>
    <row r="269">
      <c r="E269" s="18"/>
      <c r="F269" s="18"/>
      <c r="G269" s="263"/>
      <c r="M269" s="263"/>
      <c r="R269" s="18"/>
      <c r="S269" s="18"/>
    </row>
    <row r="270">
      <c r="E270" s="18"/>
      <c r="F270" s="18"/>
      <c r="G270" s="263"/>
      <c r="M270" s="263"/>
      <c r="R270" s="18"/>
      <c r="S270" s="18"/>
    </row>
    <row r="271">
      <c r="E271" s="18"/>
      <c r="F271" s="18"/>
      <c r="G271" s="263"/>
      <c r="M271" s="263"/>
      <c r="R271" s="18"/>
      <c r="S271" s="18"/>
    </row>
    <row r="272">
      <c r="E272" s="18"/>
      <c r="F272" s="18"/>
      <c r="G272" s="263"/>
      <c r="M272" s="263"/>
      <c r="R272" s="18"/>
      <c r="S272" s="18"/>
    </row>
    <row r="273">
      <c r="E273" s="18"/>
      <c r="F273" s="18"/>
      <c r="G273" s="263"/>
      <c r="M273" s="263"/>
      <c r="R273" s="18"/>
      <c r="S273" s="18"/>
    </row>
    <row r="274">
      <c r="E274" s="18"/>
      <c r="F274" s="18"/>
      <c r="G274" s="263"/>
      <c r="M274" s="263"/>
      <c r="R274" s="18"/>
      <c r="S274" s="18"/>
    </row>
    <row r="275">
      <c r="E275" s="18"/>
      <c r="F275" s="18"/>
      <c r="G275" s="263"/>
      <c r="M275" s="263"/>
      <c r="R275" s="18"/>
      <c r="S275" s="18"/>
    </row>
    <row r="276">
      <c r="E276" s="18"/>
      <c r="F276" s="18"/>
      <c r="G276" s="263"/>
      <c r="M276" s="263"/>
      <c r="R276" s="18"/>
      <c r="S276" s="18"/>
    </row>
    <row r="277">
      <c r="E277" s="18"/>
      <c r="F277" s="18"/>
      <c r="G277" s="263"/>
      <c r="M277" s="263"/>
      <c r="R277" s="18"/>
      <c r="S277" s="18"/>
    </row>
    <row r="278">
      <c r="E278" s="18"/>
      <c r="F278" s="18"/>
      <c r="G278" s="263"/>
      <c r="M278" s="263"/>
      <c r="R278" s="18"/>
      <c r="S278" s="18"/>
    </row>
    <row r="279">
      <c r="E279" s="18"/>
      <c r="F279" s="18"/>
      <c r="G279" s="263"/>
      <c r="M279" s="263"/>
      <c r="R279" s="18"/>
      <c r="S279" s="18"/>
    </row>
    <row r="280">
      <c r="E280" s="18"/>
      <c r="F280" s="18"/>
      <c r="G280" s="263"/>
      <c r="M280" s="263"/>
      <c r="R280" s="18"/>
      <c r="S280" s="18"/>
    </row>
    <row r="281">
      <c r="E281" s="18"/>
      <c r="F281" s="18"/>
      <c r="G281" s="263"/>
      <c r="M281" s="263"/>
      <c r="R281" s="18"/>
      <c r="S281" s="18"/>
    </row>
    <row r="282">
      <c r="E282" s="18"/>
      <c r="F282" s="18"/>
      <c r="G282" s="263"/>
      <c r="M282" s="263"/>
      <c r="R282" s="18"/>
      <c r="S282" s="18"/>
    </row>
    <row r="283">
      <c r="E283" s="18"/>
      <c r="F283" s="18"/>
      <c r="G283" s="263"/>
      <c r="M283" s="263"/>
      <c r="R283" s="18"/>
      <c r="S283" s="18"/>
    </row>
    <row r="284">
      <c r="E284" s="18"/>
      <c r="F284" s="18"/>
      <c r="G284" s="263"/>
      <c r="M284" s="263"/>
      <c r="R284" s="18"/>
      <c r="S284" s="18"/>
    </row>
    <row r="285">
      <c r="E285" s="18"/>
      <c r="F285" s="18"/>
      <c r="G285" s="263"/>
      <c r="M285" s="263"/>
      <c r="R285" s="18"/>
      <c r="S285" s="18"/>
    </row>
    <row r="286">
      <c r="E286" s="18"/>
      <c r="F286" s="18"/>
      <c r="G286" s="263"/>
      <c r="M286" s="263"/>
      <c r="R286" s="18"/>
      <c r="S286" s="18"/>
    </row>
    <row r="287">
      <c r="E287" s="18"/>
      <c r="F287" s="18"/>
      <c r="G287" s="263"/>
      <c r="M287" s="263"/>
      <c r="R287" s="18"/>
      <c r="S287" s="18"/>
    </row>
    <row r="288">
      <c r="E288" s="18"/>
      <c r="F288" s="18"/>
      <c r="G288" s="263"/>
      <c r="M288" s="263"/>
      <c r="R288" s="18"/>
      <c r="S288" s="18"/>
    </row>
    <row r="289">
      <c r="E289" s="18"/>
      <c r="F289" s="18"/>
      <c r="G289" s="263"/>
      <c r="M289" s="263"/>
      <c r="R289" s="18"/>
      <c r="S289" s="18"/>
    </row>
    <row r="290">
      <c r="E290" s="18"/>
      <c r="F290" s="18"/>
      <c r="G290" s="263"/>
      <c r="M290" s="263"/>
      <c r="R290" s="18"/>
      <c r="S290" s="18"/>
    </row>
    <row r="291">
      <c r="E291" s="18"/>
      <c r="F291" s="18"/>
      <c r="G291" s="263"/>
      <c r="M291" s="263"/>
      <c r="R291" s="18"/>
      <c r="S291" s="18"/>
    </row>
    <row r="292">
      <c r="E292" s="18"/>
      <c r="F292" s="18"/>
      <c r="G292" s="263"/>
      <c r="M292" s="263"/>
      <c r="R292" s="18"/>
      <c r="S292" s="18"/>
    </row>
    <row r="293">
      <c r="E293" s="18"/>
      <c r="F293" s="18"/>
      <c r="G293" s="263"/>
      <c r="M293" s="263"/>
      <c r="R293" s="18"/>
      <c r="S293" s="18"/>
    </row>
    <row r="294">
      <c r="E294" s="18"/>
      <c r="F294" s="18"/>
      <c r="G294" s="263"/>
      <c r="M294" s="263"/>
      <c r="R294" s="18"/>
      <c r="S294" s="18"/>
    </row>
    <row r="295">
      <c r="E295" s="18"/>
      <c r="F295" s="18"/>
      <c r="G295" s="263"/>
      <c r="M295" s="263"/>
      <c r="R295" s="18"/>
      <c r="S295" s="18"/>
    </row>
    <row r="296">
      <c r="E296" s="18"/>
      <c r="F296" s="18"/>
      <c r="G296" s="263"/>
      <c r="M296" s="263"/>
      <c r="R296" s="18"/>
      <c r="S296" s="18"/>
    </row>
    <row r="297">
      <c r="E297" s="18"/>
      <c r="F297" s="18"/>
      <c r="G297" s="263"/>
      <c r="M297" s="263"/>
      <c r="R297" s="18"/>
      <c r="S297" s="18"/>
    </row>
    <row r="298">
      <c r="E298" s="18"/>
      <c r="F298" s="18"/>
      <c r="G298" s="263"/>
      <c r="M298" s="263"/>
      <c r="R298" s="18"/>
      <c r="S298" s="18"/>
    </row>
    <row r="299">
      <c r="E299" s="18"/>
      <c r="F299" s="18"/>
      <c r="G299" s="263"/>
      <c r="M299" s="263"/>
      <c r="R299" s="18"/>
      <c r="S299" s="18"/>
    </row>
    <row r="300">
      <c r="E300" s="18"/>
      <c r="F300" s="18"/>
      <c r="G300" s="263"/>
      <c r="M300" s="263"/>
      <c r="R300" s="18"/>
      <c r="S300" s="18"/>
    </row>
    <row r="301">
      <c r="E301" s="18"/>
      <c r="F301" s="18"/>
      <c r="G301" s="263"/>
      <c r="M301" s="263"/>
      <c r="R301" s="18"/>
      <c r="S301" s="18"/>
    </row>
    <row r="302">
      <c r="E302" s="18"/>
      <c r="F302" s="18"/>
      <c r="G302" s="263"/>
      <c r="M302" s="263"/>
      <c r="R302" s="18"/>
      <c r="S302" s="18"/>
    </row>
    <row r="303">
      <c r="E303" s="18"/>
      <c r="F303" s="18"/>
      <c r="G303" s="263"/>
      <c r="M303" s="263"/>
      <c r="R303" s="18"/>
      <c r="S303" s="18"/>
    </row>
    <row r="304">
      <c r="E304" s="18"/>
      <c r="F304" s="18"/>
      <c r="G304" s="263"/>
      <c r="M304" s="263"/>
      <c r="R304" s="18"/>
      <c r="S304" s="18"/>
    </row>
    <row r="305">
      <c r="E305" s="18"/>
      <c r="F305" s="18"/>
      <c r="G305" s="263"/>
      <c r="M305" s="263"/>
      <c r="R305" s="18"/>
      <c r="S305" s="18"/>
    </row>
    <row r="306">
      <c r="E306" s="18"/>
      <c r="F306" s="18"/>
      <c r="G306" s="263"/>
      <c r="M306" s="263"/>
      <c r="R306" s="18"/>
      <c r="S306" s="18"/>
    </row>
    <row r="307">
      <c r="E307" s="18"/>
      <c r="F307" s="18"/>
      <c r="G307" s="263"/>
      <c r="M307" s="263"/>
      <c r="R307" s="18"/>
      <c r="S307" s="18"/>
    </row>
    <row r="308">
      <c r="E308" s="18"/>
      <c r="F308" s="18"/>
      <c r="G308" s="263"/>
      <c r="M308" s="263"/>
      <c r="R308" s="18"/>
      <c r="S308" s="18"/>
    </row>
    <row r="309">
      <c r="E309" s="18"/>
      <c r="F309" s="18"/>
      <c r="G309" s="263"/>
      <c r="M309" s="263"/>
      <c r="R309" s="18"/>
      <c r="S309" s="18"/>
    </row>
    <row r="310">
      <c r="E310" s="18"/>
      <c r="F310" s="18"/>
      <c r="G310" s="263"/>
      <c r="M310" s="263"/>
      <c r="R310" s="18"/>
      <c r="S310" s="18"/>
    </row>
    <row r="311">
      <c r="E311" s="18"/>
      <c r="F311" s="18"/>
      <c r="G311" s="263"/>
      <c r="M311" s="263"/>
      <c r="R311" s="18"/>
      <c r="S311" s="18"/>
    </row>
    <row r="312">
      <c r="E312" s="18"/>
      <c r="F312" s="18"/>
      <c r="G312" s="263"/>
      <c r="M312" s="263"/>
      <c r="R312" s="18"/>
      <c r="S312" s="18"/>
    </row>
    <row r="313">
      <c r="E313" s="18"/>
      <c r="F313" s="18"/>
      <c r="G313" s="263"/>
      <c r="M313" s="263"/>
      <c r="R313" s="18"/>
      <c r="S313" s="18"/>
    </row>
    <row r="314">
      <c r="E314" s="18"/>
      <c r="F314" s="18"/>
      <c r="G314" s="263"/>
      <c r="M314" s="263"/>
      <c r="R314" s="18"/>
      <c r="S314" s="18"/>
    </row>
    <row r="315">
      <c r="E315" s="18"/>
      <c r="F315" s="18"/>
      <c r="G315" s="263"/>
      <c r="M315" s="263"/>
      <c r="R315" s="18"/>
      <c r="S315" s="18"/>
    </row>
    <row r="316">
      <c r="E316" s="18"/>
      <c r="F316" s="18"/>
      <c r="G316" s="263"/>
      <c r="M316" s="263"/>
      <c r="R316" s="18"/>
      <c r="S316" s="18"/>
    </row>
    <row r="317">
      <c r="E317" s="18"/>
      <c r="F317" s="18"/>
      <c r="G317" s="263"/>
      <c r="M317" s="263"/>
      <c r="R317" s="18"/>
      <c r="S317" s="18"/>
    </row>
    <row r="318">
      <c r="E318" s="18"/>
      <c r="F318" s="18"/>
      <c r="G318" s="263"/>
      <c r="M318" s="263"/>
      <c r="R318" s="18"/>
      <c r="S318" s="18"/>
    </row>
    <row r="319">
      <c r="E319" s="18"/>
      <c r="F319" s="18"/>
      <c r="G319" s="263"/>
      <c r="M319" s="263"/>
      <c r="R319" s="18"/>
      <c r="S319" s="18"/>
    </row>
    <row r="320">
      <c r="E320" s="18"/>
      <c r="F320" s="18"/>
      <c r="G320" s="263"/>
      <c r="M320" s="263"/>
      <c r="R320" s="18"/>
      <c r="S320" s="18"/>
    </row>
    <row r="321">
      <c r="E321" s="18"/>
      <c r="F321" s="18"/>
      <c r="G321" s="263"/>
      <c r="M321" s="263"/>
      <c r="R321" s="18"/>
      <c r="S321" s="18"/>
    </row>
    <row r="322">
      <c r="E322" s="18"/>
      <c r="F322" s="18"/>
      <c r="G322" s="263"/>
      <c r="M322" s="263"/>
      <c r="R322" s="18"/>
      <c r="S322" s="18"/>
    </row>
    <row r="323">
      <c r="E323" s="18"/>
      <c r="F323" s="18"/>
      <c r="G323" s="263"/>
      <c r="M323" s="263"/>
      <c r="R323" s="18"/>
      <c r="S323" s="18"/>
    </row>
    <row r="324">
      <c r="E324" s="18"/>
      <c r="F324" s="18"/>
      <c r="G324" s="263"/>
      <c r="M324" s="263"/>
      <c r="R324" s="18"/>
      <c r="S324" s="18"/>
    </row>
    <row r="325">
      <c r="E325" s="18"/>
      <c r="F325" s="18"/>
      <c r="G325" s="263"/>
      <c r="M325" s="263"/>
      <c r="R325" s="18"/>
      <c r="S325" s="18"/>
    </row>
    <row r="326">
      <c r="E326" s="18"/>
      <c r="F326" s="18"/>
      <c r="G326" s="263"/>
      <c r="M326" s="263"/>
      <c r="R326" s="18"/>
      <c r="S326" s="18"/>
    </row>
    <row r="327">
      <c r="E327" s="18"/>
      <c r="F327" s="18"/>
      <c r="G327" s="263"/>
      <c r="M327" s="263"/>
      <c r="R327" s="18"/>
      <c r="S327" s="18"/>
    </row>
    <row r="328">
      <c r="E328" s="18"/>
      <c r="F328" s="18"/>
      <c r="G328" s="263"/>
      <c r="M328" s="263"/>
      <c r="R328" s="18"/>
      <c r="S328" s="18"/>
    </row>
    <row r="329">
      <c r="E329" s="18"/>
      <c r="F329" s="18"/>
      <c r="G329" s="263"/>
      <c r="M329" s="263"/>
      <c r="R329" s="18"/>
      <c r="S329" s="18"/>
    </row>
    <row r="330">
      <c r="E330" s="18"/>
      <c r="F330" s="18"/>
      <c r="G330" s="263"/>
      <c r="M330" s="263"/>
      <c r="R330" s="18"/>
      <c r="S330" s="18"/>
    </row>
    <row r="331">
      <c r="E331" s="18"/>
      <c r="F331" s="18"/>
      <c r="G331" s="263"/>
      <c r="M331" s="263"/>
      <c r="R331" s="18"/>
      <c r="S331" s="18"/>
    </row>
    <row r="332">
      <c r="E332" s="18"/>
      <c r="F332" s="18"/>
      <c r="G332" s="263"/>
      <c r="M332" s="263"/>
      <c r="R332" s="18"/>
      <c r="S332" s="18"/>
    </row>
    <row r="333">
      <c r="E333" s="18"/>
      <c r="F333" s="18"/>
      <c r="G333" s="263"/>
      <c r="M333" s="263"/>
      <c r="R333" s="18"/>
      <c r="S333" s="18"/>
    </row>
    <row r="334">
      <c r="E334" s="18"/>
      <c r="F334" s="18"/>
      <c r="G334" s="263"/>
      <c r="M334" s="263"/>
      <c r="R334" s="18"/>
      <c r="S334" s="18"/>
    </row>
    <row r="335">
      <c r="E335" s="18"/>
      <c r="F335" s="18"/>
      <c r="G335" s="263"/>
      <c r="M335" s="263"/>
      <c r="R335" s="18"/>
      <c r="S335" s="18"/>
    </row>
    <row r="336">
      <c r="E336" s="18"/>
      <c r="F336" s="18"/>
      <c r="G336" s="263"/>
      <c r="M336" s="263"/>
      <c r="R336" s="18"/>
      <c r="S336" s="18"/>
    </row>
    <row r="337">
      <c r="E337" s="18"/>
      <c r="F337" s="18"/>
      <c r="G337" s="263"/>
      <c r="M337" s="263"/>
      <c r="R337" s="18"/>
      <c r="S337" s="18"/>
    </row>
    <row r="338">
      <c r="E338" s="18"/>
      <c r="F338" s="18"/>
      <c r="G338" s="263"/>
      <c r="M338" s="263"/>
      <c r="R338" s="18"/>
      <c r="S338" s="18"/>
    </row>
    <row r="339">
      <c r="E339" s="18"/>
      <c r="F339" s="18"/>
      <c r="G339" s="263"/>
      <c r="M339" s="263"/>
      <c r="R339" s="18"/>
      <c r="S339" s="18"/>
    </row>
    <row r="340">
      <c r="E340" s="18"/>
      <c r="F340" s="18"/>
      <c r="G340" s="263"/>
      <c r="M340" s="263"/>
      <c r="R340" s="18"/>
      <c r="S340" s="18"/>
    </row>
    <row r="341">
      <c r="E341" s="18"/>
      <c r="F341" s="18"/>
      <c r="G341" s="263"/>
      <c r="M341" s="263"/>
      <c r="R341" s="18"/>
      <c r="S341" s="18"/>
    </row>
    <row r="342">
      <c r="E342" s="18"/>
      <c r="F342" s="18"/>
      <c r="G342" s="263"/>
      <c r="M342" s="263"/>
      <c r="R342" s="18"/>
      <c r="S342" s="18"/>
    </row>
    <row r="343">
      <c r="E343" s="18"/>
      <c r="F343" s="18"/>
      <c r="G343" s="263"/>
      <c r="M343" s="263"/>
      <c r="R343" s="18"/>
      <c r="S343" s="18"/>
    </row>
    <row r="344">
      <c r="E344" s="18"/>
      <c r="F344" s="18"/>
      <c r="G344" s="263"/>
      <c r="M344" s="263"/>
      <c r="R344" s="18"/>
      <c r="S344" s="18"/>
    </row>
    <row r="345">
      <c r="E345" s="18"/>
      <c r="F345" s="18"/>
      <c r="G345" s="263"/>
      <c r="M345" s="263"/>
      <c r="R345" s="18"/>
      <c r="S345" s="18"/>
    </row>
    <row r="346">
      <c r="E346" s="18"/>
      <c r="F346" s="18"/>
      <c r="G346" s="263"/>
      <c r="M346" s="263"/>
      <c r="R346" s="18"/>
      <c r="S346" s="18"/>
    </row>
    <row r="347">
      <c r="E347" s="18"/>
      <c r="F347" s="18"/>
      <c r="G347" s="263"/>
      <c r="M347" s="263"/>
      <c r="R347" s="18"/>
      <c r="S347" s="18"/>
    </row>
    <row r="348">
      <c r="E348" s="18"/>
      <c r="F348" s="18"/>
      <c r="G348" s="263"/>
      <c r="M348" s="263"/>
      <c r="R348" s="18"/>
      <c r="S348" s="18"/>
    </row>
    <row r="349">
      <c r="E349" s="18"/>
      <c r="F349" s="18"/>
      <c r="G349" s="263"/>
      <c r="M349" s="263"/>
      <c r="R349" s="18"/>
      <c r="S349" s="18"/>
    </row>
    <row r="350">
      <c r="E350" s="18"/>
      <c r="F350" s="18"/>
      <c r="G350" s="263"/>
      <c r="M350" s="263"/>
      <c r="R350" s="18"/>
      <c r="S350" s="18"/>
    </row>
    <row r="351">
      <c r="E351" s="18"/>
      <c r="F351" s="18"/>
      <c r="G351" s="263"/>
      <c r="M351" s="263"/>
      <c r="R351" s="18"/>
      <c r="S351" s="18"/>
    </row>
    <row r="352">
      <c r="E352" s="18"/>
      <c r="F352" s="18"/>
      <c r="G352" s="263"/>
      <c r="M352" s="263"/>
      <c r="R352" s="18"/>
      <c r="S352" s="18"/>
    </row>
    <row r="353">
      <c r="E353" s="18"/>
      <c r="F353" s="18"/>
      <c r="G353" s="263"/>
      <c r="M353" s="263"/>
      <c r="R353" s="18"/>
      <c r="S353" s="18"/>
    </row>
    <row r="354">
      <c r="E354" s="18"/>
      <c r="F354" s="18"/>
      <c r="G354" s="263"/>
      <c r="M354" s="263"/>
      <c r="R354" s="18"/>
      <c r="S354" s="18"/>
    </row>
    <row r="355">
      <c r="E355" s="18"/>
      <c r="F355" s="18"/>
      <c r="G355" s="263"/>
      <c r="M355" s="263"/>
      <c r="R355" s="18"/>
      <c r="S355" s="18"/>
    </row>
    <row r="356">
      <c r="E356" s="18"/>
      <c r="F356" s="18"/>
      <c r="G356" s="263"/>
      <c r="M356" s="263"/>
      <c r="R356" s="18"/>
      <c r="S356" s="18"/>
    </row>
    <row r="357">
      <c r="E357" s="18"/>
      <c r="F357" s="18"/>
      <c r="G357" s="263"/>
      <c r="M357" s="263"/>
      <c r="R357" s="18"/>
      <c r="S357" s="18"/>
    </row>
    <row r="358">
      <c r="E358" s="18"/>
      <c r="F358" s="18"/>
      <c r="G358" s="263"/>
      <c r="M358" s="263"/>
      <c r="R358" s="18"/>
      <c r="S358" s="18"/>
    </row>
    <row r="359">
      <c r="E359" s="18"/>
      <c r="F359" s="18"/>
      <c r="G359" s="263"/>
      <c r="M359" s="263"/>
      <c r="R359" s="18"/>
      <c r="S359" s="18"/>
    </row>
    <row r="360">
      <c r="E360" s="18"/>
      <c r="F360" s="18"/>
      <c r="G360" s="263"/>
      <c r="M360" s="263"/>
      <c r="R360" s="18"/>
      <c r="S360" s="18"/>
    </row>
    <row r="361">
      <c r="E361" s="18"/>
      <c r="F361" s="18"/>
      <c r="G361" s="263"/>
      <c r="M361" s="263"/>
      <c r="R361" s="18"/>
      <c r="S361" s="18"/>
    </row>
    <row r="362">
      <c r="E362" s="18"/>
      <c r="F362" s="18"/>
      <c r="G362" s="263"/>
      <c r="M362" s="263"/>
      <c r="R362" s="18"/>
      <c r="S362" s="18"/>
    </row>
    <row r="363">
      <c r="E363" s="18"/>
      <c r="F363" s="18"/>
      <c r="G363" s="263"/>
      <c r="M363" s="263"/>
      <c r="R363" s="18"/>
      <c r="S363" s="18"/>
    </row>
    <row r="364">
      <c r="E364" s="18"/>
      <c r="F364" s="18"/>
      <c r="G364" s="263"/>
      <c r="M364" s="263"/>
      <c r="R364" s="18"/>
      <c r="S364" s="18"/>
    </row>
    <row r="365">
      <c r="E365" s="18"/>
      <c r="F365" s="18"/>
      <c r="G365" s="263"/>
      <c r="M365" s="263"/>
      <c r="R365" s="18"/>
      <c r="S365" s="18"/>
    </row>
    <row r="366">
      <c r="E366" s="18"/>
      <c r="F366" s="18"/>
      <c r="G366" s="263"/>
      <c r="M366" s="263"/>
      <c r="R366" s="18"/>
      <c r="S366" s="18"/>
    </row>
    <row r="367">
      <c r="E367" s="18"/>
      <c r="F367" s="18"/>
      <c r="G367" s="263"/>
      <c r="M367" s="263"/>
      <c r="R367" s="18"/>
      <c r="S367" s="18"/>
    </row>
    <row r="368">
      <c r="E368" s="18"/>
      <c r="F368" s="18"/>
      <c r="G368" s="263"/>
      <c r="M368" s="263"/>
      <c r="R368" s="18"/>
      <c r="S368" s="18"/>
    </row>
    <row r="369">
      <c r="E369" s="18"/>
      <c r="F369" s="18"/>
      <c r="G369" s="263"/>
      <c r="M369" s="263"/>
      <c r="R369" s="18"/>
      <c r="S369" s="18"/>
    </row>
    <row r="370">
      <c r="E370" s="18"/>
      <c r="F370" s="18"/>
      <c r="G370" s="263"/>
      <c r="M370" s="263"/>
      <c r="R370" s="18"/>
      <c r="S370" s="18"/>
    </row>
    <row r="371">
      <c r="E371" s="18"/>
      <c r="F371" s="18"/>
      <c r="G371" s="263"/>
      <c r="M371" s="263"/>
      <c r="R371" s="18"/>
      <c r="S371" s="18"/>
    </row>
    <row r="372">
      <c r="E372" s="18"/>
      <c r="F372" s="18"/>
      <c r="G372" s="263"/>
      <c r="M372" s="263"/>
      <c r="R372" s="18"/>
      <c r="S372" s="18"/>
    </row>
    <row r="373">
      <c r="E373" s="18"/>
      <c r="F373" s="18"/>
      <c r="G373" s="263"/>
      <c r="M373" s="263"/>
      <c r="R373" s="18"/>
      <c r="S373" s="18"/>
    </row>
    <row r="374">
      <c r="E374" s="18"/>
      <c r="F374" s="18"/>
      <c r="G374" s="263"/>
      <c r="M374" s="263"/>
      <c r="R374" s="18"/>
      <c r="S374" s="18"/>
    </row>
    <row r="375">
      <c r="E375" s="18"/>
      <c r="F375" s="18"/>
      <c r="G375" s="263"/>
      <c r="M375" s="263"/>
      <c r="R375" s="18"/>
      <c r="S375" s="18"/>
    </row>
    <row r="376">
      <c r="E376" s="18"/>
      <c r="F376" s="18"/>
      <c r="G376" s="263"/>
      <c r="M376" s="263"/>
      <c r="R376" s="18"/>
      <c r="S376" s="18"/>
    </row>
    <row r="377">
      <c r="E377" s="18"/>
      <c r="F377" s="18"/>
      <c r="G377" s="263"/>
      <c r="M377" s="263"/>
      <c r="R377" s="18"/>
      <c r="S377" s="18"/>
    </row>
    <row r="378">
      <c r="E378" s="18"/>
      <c r="F378" s="18"/>
      <c r="G378" s="263"/>
      <c r="M378" s="263"/>
      <c r="R378" s="18"/>
      <c r="S378" s="18"/>
    </row>
    <row r="379">
      <c r="E379" s="18"/>
      <c r="F379" s="18"/>
      <c r="G379" s="263"/>
      <c r="M379" s="263"/>
      <c r="R379" s="18"/>
      <c r="S379" s="18"/>
    </row>
    <row r="380">
      <c r="E380" s="18"/>
      <c r="F380" s="18"/>
      <c r="G380" s="263"/>
      <c r="M380" s="263"/>
      <c r="R380" s="18"/>
      <c r="S380" s="18"/>
    </row>
    <row r="381">
      <c r="E381" s="18"/>
      <c r="F381" s="18"/>
      <c r="G381" s="263"/>
      <c r="M381" s="263"/>
      <c r="R381" s="18"/>
      <c r="S381" s="18"/>
    </row>
    <row r="382">
      <c r="E382" s="18"/>
      <c r="F382" s="18"/>
      <c r="G382" s="263"/>
      <c r="M382" s="263"/>
      <c r="R382" s="18"/>
      <c r="S382" s="18"/>
    </row>
    <row r="383">
      <c r="E383" s="18"/>
      <c r="F383" s="18"/>
      <c r="G383" s="263"/>
      <c r="M383" s="263"/>
      <c r="R383" s="18"/>
      <c r="S383" s="18"/>
    </row>
    <row r="384">
      <c r="E384" s="18"/>
      <c r="F384" s="18"/>
      <c r="G384" s="263"/>
      <c r="M384" s="263"/>
      <c r="R384" s="18"/>
      <c r="S384" s="18"/>
    </row>
    <row r="385">
      <c r="E385" s="18"/>
      <c r="F385" s="18"/>
      <c r="G385" s="263"/>
      <c r="M385" s="263"/>
      <c r="R385" s="18"/>
      <c r="S385" s="18"/>
    </row>
    <row r="386">
      <c r="E386" s="18"/>
      <c r="F386" s="18"/>
      <c r="G386" s="263"/>
      <c r="M386" s="263"/>
      <c r="R386" s="18"/>
      <c r="S386" s="18"/>
    </row>
    <row r="387">
      <c r="E387" s="18"/>
      <c r="F387" s="18"/>
      <c r="G387" s="263"/>
      <c r="M387" s="263"/>
      <c r="R387" s="18"/>
      <c r="S387" s="18"/>
    </row>
    <row r="388">
      <c r="E388" s="18"/>
      <c r="F388" s="18"/>
      <c r="G388" s="263"/>
      <c r="M388" s="263"/>
      <c r="R388" s="18"/>
      <c r="S388" s="18"/>
    </row>
    <row r="389">
      <c r="E389" s="18"/>
      <c r="F389" s="18"/>
      <c r="G389" s="263"/>
      <c r="M389" s="263"/>
      <c r="R389" s="18"/>
      <c r="S389" s="18"/>
    </row>
    <row r="390">
      <c r="E390" s="18"/>
      <c r="F390" s="18"/>
      <c r="G390" s="263"/>
      <c r="M390" s="263"/>
      <c r="R390" s="18"/>
      <c r="S390" s="18"/>
    </row>
    <row r="391">
      <c r="E391" s="18"/>
      <c r="F391" s="18"/>
      <c r="G391" s="263"/>
      <c r="M391" s="263"/>
      <c r="R391" s="18"/>
      <c r="S391" s="18"/>
    </row>
    <row r="392">
      <c r="E392" s="18"/>
      <c r="F392" s="18"/>
      <c r="G392" s="263"/>
      <c r="M392" s="263"/>
      <c r="R392" s="18"/>
      <c r="S392" s="18"/>
    </row>
    <row r="393">
      <c r="E393" s="18"/>
      <c r="F393" s="18"/>
      <c r="G393" s="263"/>
      <c r="M393" s="263"/>
      <c r="R393" s="18"/>
      <c r="S393" s="18"/>
    </row>
    <row r="394">
      <c r="E394" s="18"/>
      <c r="F394" s="18"/>
      <c r="G394" s="263"/>
      <c r="M394" s="263"/>
      <c r="R394" s="18"/>
      <c r="S394" s="18"/>
    </row>
    <row r="395">
      <c r="E395" s="18"/>
      <c r="F395" s="18"/>
      <c r="G395" s="263"/>
      <c r="M395" s="263"/>
      <c r="R395" s="18"/>
      <c r="S395" s="18"/>
    </row>
    <row r="396">
      <c r="E396" s="18"/>
      <c r="F396" s="18"/>
      <c r="G396" s="263"/>
      <c r="M396" s="263"/>
      <c r="R396" s="18"/>
      <c r="S396" s="18"/>
    </row>
    <row r="397">
      <c r="E397" s="18"/>
      <c r="F397" s="18"/>
      <c r="G397" s="263"/>
      <c r="M397" s="263"/>
      <c r="R397" s="18"/>
      <c r="S397" s="18"/>
    </row>
    <row r="398">
      <c r="E398" s="18"/>
      <c r="F398" s="18"/>
      <c r="G398" s="263"/>
      <c r="M398" s="263"/>
      <c r="R398" s="18"/>
      <c r="S398" s="18"/>
    </row>
    <row r="399">
      <c r="E399" s="18"/>
      <c r="F399" s="18"/>
      <c r="G399" s="263"/>
      <c r="M399" s="263"/>
      <c r="R399" s="18"/>
      <c r="S399" s="18"/>
    </row>
    <row r="400">
      <c r="E400" s="18"/>
      <c r="F400" s="18"/>
      <c r="G400" s="263"/>
      <c r="M400" s="263"/>
      <c r="R400" s="18"/>
      <c r="S400" s="18"/>
    </row>
    <row r="401">
      <c r="E401" s="18"/>
      <c r="F401" s="18"/>
      <c r="G401" s="263"/>
      <c r="M401" s="263"/>
      <c r="R401" s="18"/>
      <c r="S401" s="18"/>
    </row>
    <row r="402">
      <c r="E402" s="18"/>
      <c r="F402" s="18"/>
      <c r="G402" s="263"/>
      <c r="M402" s="263"/>
      <c r="R402" s="18"/>
      <c r="S402" s="18"/>
    </row>
    <row r="403">
      <c r="E403" s="18"/>
      <c r="F403" s="18"/>
      <c r="G403" s="263"/>
      <c r="M403" s="263"/>
      <c r="R403" s="18"/>
      <c r="S403" s="18"/>
    </row>
    <row r="404">
      <c r="E404" s="18"/>
      <c r="F404" s="18"/>
      <c r="G404" s="263"/>
      <c r="M404" s="263"/>
      <c r="R404" s="18"/>
      <c r="S404" s="18"/>
    </row>
    <row r="405">
      <c r="E405" s="18"/>
      <c r="F405" s="18"/>
      <c r="G405" s="263"/>
      <c r="M405" s="263"/>
      <c r="R405" s="18"/>
      <c r="S405" s="18"/>
    </row>
    <row r="406">
      <c r="E406" s="18"/>
      <c r="F406" s="18"/>
      <c r="G406" s="263"/>
      <c r="M406" s="263"/>
      <c r="R406" s="18"/>
      <c r="S406" s="18"/>
    </row>
    <row r="407">
      <c r="E407" s="18"/>
      <c r="F407" s="18"/>
      <c r="G407" s="263"/>
      <c r="M407" s="263"/>
      <c r="R407" s="18"/>
      <c r="S407" s="18"/>
    </row>
    <row r="408">
      <c r="E408" s="18"/>
      <c r="F408" s="18"/>
      <c r="G408" s="263"/>
      <c r="M408" s="263"/>
      <c r="R408" s="18"/>
      <c r="S408" s="18"/>
    </row>
    <row r="409">
      <c r="E409" s="18"/>
      <c r="F409" s="18"/>
      <c r="G409" s="263"/>
      <c r="M409" s="263"/>
      <c r="R409" s="18"/>
      <c r="S409" s="18"/>
    </row>
    <row r="410">
      <c r="E410" s="18"/>
      <c r="F410" s="18"/>
      <c r="G410" s="263"/>
      <c r="M410" s="263"/>
      <c r="R410" s="18"/>
      <c r="S410" s="18"/>
    </row>
    <row r="411">
      <c r="E411" s="18"/>
      <c r="F411" s="18"/>
      <c r="G411" s="263"/>
      <c r="M411" s="263"/>
      <c r="R411" s="18"/>
      <c r="S411" s="18"/>
    </row>
    <row r="412">
      <c r="E412" s="18"/>
      <c r="F412" s="18"/>
      <c r="G412" s="263"/>
      <c r="M412" s="263"/>
      <c r="R412" s="18"/>
      <c r="S412" s="18"/>
    </row>
    <row r="413">
      <c r="E413" s="18"/>
      <c r="F413" s="18"/>
      <c r="G413" s="263"/>
      <c r="M413" s="263"/>
      <c r="R413" s="18"/>
      <c r="S413" s="18"/>
    </row>
    <row r="414">
      <c r="E414" s="18"/>
      <c r="F414" s="18"/>
      <c r="G414" s="263"/>
      <c r="M414" s="263"/>
      <c r="R414" s="18"/>
      <c r="S414" s="18"/>
    </row>
    <row r="415">
      <c r="E415" s="18"/>
      <c r="F415" s="18"/>
      <c r="G415" s="263"/>
      <c r="M415" s="263"/>
      <c r="R415" s="18"/>
      <c r="S415" s="18"/>
    </row>
    <row r="416">
      <c r="E416" s="18"/>
      <c r="F416" s="18"/>
      <c r="G416" s="263"/>
      <c r="M416" s="263"/>
      <c r="R416" s="18"/>
      <c r="S416" s="18"/>
    </row>
    <row r="417">
      <c r="E417" s="18"/>
      <c r="F417" s="18"/>
      <c r="G417" s="263"/>
      <c r="M417" s="263"/>
      <c r="R417" s="18"/>
      <c r="S417" s="18"/>
    </row>
    <row r="418">
      <c r="E418" s="18"/>
      <c r="F418" s="18"/>
      <c r="G418" s="263"/>
      <c r="M418" s="263"/>
      <c r="R418" s="18"/>
      <c r="S418" s="18"/>
    </row>
    <row r="419">
      <c r="E419" s="18"/>
      <c r="F419" s="18"/>
      <c r="G419" s="263"/>
      <c r="M419" s="263"/>
      <c r="R419" s="18"/>
      <c r="S419" s="18"/>
    </row>
    <row r="420">
      <c r="E420" s="18"/>
      <c r="F420" s="18"/>
      <c r="G420" s="263"/>
      <c r="M420" s="263"/>
      <c r="R420" s="18"/>
      <c r="S420" s="18"/>
    </row>
    <row r="421">
      <c r="E421" s="18"/>
      <c r="F421" s="18"/>
      <c r="G421" s="263"/>
      <c r="M421" s="263"/>
      <c r="R421" s="18"/>
      <c r="S421" s="18"/>
    </row>
    <row r="422">
      <c r="E422" s="18"/>
      <c r="F422" s="18"/>
      <c r="G422" s="263"/>
      <c r="M422" s="263"/>
      <c r="R422" s="18"/>
      <c r="S422" s="18"/>
    </row>
    <row r="423">
      <c r="E423" s="18"/>
      <c r="F423" s="18"/>
      <c r="G423" s="263"/>
      <c r="M423" s="263"/>
      <c r="R423" s="18"/>
      <c r="S423" s="18"/>
    </row>
    <row r="424">
      <c r="E424" s="18"/>
      <c r="F424" s="18"/>
      <c r="G424" s="263"/>
      <c r="M424" s="263"/>
      <c r="R424" s="18"/>
      <c r="S424" s="18"/>
    </row>
    <row r="425">
      <c r="E425" s="18"/>
      <c r="F425" s="18"/>
      <c r="G425" s="263"/>
      <c r="M425" s="263"/>
      <c r="R425" s="18"/>
      <c r="S425" s="18"/>
    </row>
    <row r="426">
      <c r="E426" s="18"/>
      <c r="F426" s="18"/>
      <c r="G426" s="263"/>
      <c r="M426" s="263"/>
      <c r="R426" s="18"/>
      <c r="S426" s="18"/>
    </row>
    <row r="427">
      <c r="E427" s="18"/>
      <c r="F427" s="18"/>
      <c r="G427" s="263"/>
      <c r="M427" s="263"/>
      <c r="R427" s="18"/>
      <c r="S427" s="18"/>
    </row>
    <row r="428">
      <c r="E428" s="18"/>
      <c r="F428" s="18"/>
      <c r="G428" s="263"/>
      <c r="M428" s="263"/>
      <c r="R428" s="18"/>
      <c r="S428" s="18"/>
    </row>
    <row r="429">
      <c r="E429" s="18"/>
      <c r="F429" s="18"/>
      <c r="G429" s="263"/>
      <c r="M429" s="263"/>
      <c r="R429" s="18"/>
      <c r="S429" s="18"/>
    </row>
    <row r="430">
      <c r="E430" s="18"/>
      <c r="F430" s="18"/>
      <c r="G430" s="263"/>
      <c r="M430" s="263"/>
      <c r="R430" s="18"/>
      <c r="S430" s="18"/>
    </row>
    <row r="431">
      <c r="E431" s="18"/>
      <c r="F431" s="18"/>
      <c r="G431" s="263"/>
      <c r="M431" s="263"/>
      <c r="R431" s="18"/>
      <c r="S431" s="18"/>
    </row>
    <row r="432">
      <c r="E432" s="18"/>
      <c r="F432" s="18"/>
      <c r="G432" s="263"/>
      <c r="M432" s="263"/>
      <c r="R432" s="18"/>
      <c r="S432" s="18"/>
    </row>
    <row r="433">
      <c r="E433" s="18"/>
      <c r="F433" s="18"/>
      <c r="G433" s="263"/>
      <c r="M433" s="263"/>
      <c r="R433" s="18"/>
      <c r="S433" s="18"/>
    </row>
    <row r="434">
      <c r="E434" s="18"/>
      <c r="F434" s="18"/>
      <c r="G434" s="263"/>
      <c r="M434" s="263"/>
      <c r="R434" s="18"/>
      <c r="S434" s="18"/>
    </row>
    <row r="435">
      <c r="E435" s="18"/>
      <c r="F435" s="18"/>
      <c r="G435" s="263"/>
      <c r="M435" s="263"/>
      <c r="R435" s="18"/>
      <c r="S435" s="18"/>
    </row>
    <row r="436">
      <c r="E436" s="18"/>
      <c r="F436" s="18"/>
      <c r="G436" s="263"/>
      <c r="M436" s="263"/>
      <c r="R436" s="18"/>
      <c r="S436" s="18"/>
    </row>
    <row r="437">
      <c r="E437" s="18"/>
      <c r="F437" s="18"/>
      <c r="G437" s="263"/>
      <c r="M437" s="263"/>
      <c r="R437" s="18"/>
      <c r="S437" s="18"/>
    </row>
    <row r="438">
      <c r="E438" s="18"/>
      <c r="F438" s="18"/>
      <c r="G438" s="263"/>
      <c r="M438" s="263"/>
      <c r="R438" s="18"/>
      <c r="S438" s="18"/>
    </row>
    <row r="439">
      <c r="E439" s="18"/>
      <c r="F439" s="18"/>
      <c r="G439" s="263"/>
      <c r="M439" s="263"/>
      <c r="R439" s="18"/>
      <c r="S439" s="18"/>
    </row>
    <row r="440">
      <c r="E440" s="18"/>
      <c r="F440" s="18"/>
      <c r="G440" s="263"/>
      <c r="M440" s="263"/>
      <c r="R440" s="18"/>
      <c r="S440" s="18"/>
    </row>
    <row r="441">
      <c r="E441" s="18"/>
      <c r="F441" s="18"/>
      <c r="G441" s="263"/>
      <c r="M441" s="263"/>
      <c r="R441" s="18"/>
      <c r="S441" s="18"/>
    </row>
    <row r="442">
      <c r="E442" s="18"/>
      <c r="F442" s="18"/>
      <c r="G442" s="263"/>
      <c r="M442" s="263"/>
      <c r="R442" s="18"/>
      <c r="S442" s="18"/>
    </row>
    <row r="443">
      <c r="E443" s="18"/>
      <c r="F443" s="18"/>
      <c r="G443" s="263"/>
      <c r="M443" s="263"/>
      <c r="R443" s="18"/>
      <c r="S443" s="18"/>
    </row>
    <row r="444">
      <c r="E444" s="18"/>
      <c r="F444" s="18"/>
      <c r="G444" s="263"/>
      <c r="M444" s="263"/>
      <c r="R444" s="18"/>
      <c r="S444" s="18"/>
    </row>
    <row r="445">
      <c r="E445" s="18"/>
      <c r="F445" s="18"/>
      <c r="G445" s="263"/>
      <c r="M445" s="263"/>
      <c r="R445" s="18"/>
      <c r="S445" s="18"/>
    </row>
    <row r="446">
      <c r="E446" s="18"/>
      <c r="F446" s="18"/>
      <c r="G446" s="263"/>
      <c r="M446" s="263"/>
      <c r="R446" s="18"/>
      <c r="S446" s="18"/>
    </row>
    <row r="447">
      <c r="E447" s="18"/>
      <c r="F447" s="18"/>
      <c r="G447" s="263"/>
      <c r="M447" s="263"/>
      <c r="R447" s="18"/>
      <c r="S447" s="18"/>
    </row>
    <row r="448">
      <c r="E448" s="18"/>
      <c r="F448" s="18"/>
      <c r="G448" s="263"/>
      <c r="M448" s="263"/>
      <c r="R448" s="18"/>
      <c r="S448" s="18"/>
    </row>
    <row r="449">
      <c r="E449" s="18"/>
      <c r="F449" s="18"/>
      <c r="G449" s="263"/>
      <c r="M449" s="263"/>
      <c r="R449" s="18"/>
      <c r="S449" s="18"/>
    </row>
    <row r="450">
      <c r="E450" s="18"/>
      <c r="F450" s="18"/>
      <c r="G450" s="263"/>
      <c r="M450" s="263"/>
      <c r="R450" s="18"/>
      <c r="S450" s="18"/>
    </row>
    <row r="451">
      <c r="E451" s="18"/>
      <c r="F451" s="18"/>
      <c r="G451" s="263"/>
      <c r="M451" s="263"/>
      <c r="R451" s="18"/>
      <c r="S451" s="18"/>
    </row>
    <row r="452">
      <c r="E452" s="18"/>
      <c r="F452" s="18"/>
      <c r="G452" s="263"/>
      <c r="M452" s="263"/>
      <c r="R452" s="18"/>
      <c r="S452" s="18"/>
    </row>
    <row r="453">
      <c r="E453" s="18"/>
      <c r="F453" s="18"/>
      <c r="G453" s="263"/>
      <c r="M453" s="263"/>
      <c r="R453" s="18"/>
      <c r="S453" s="18"/>
    </row>
    <row r="454">
      <c r="E454" s="18"/>
      <c r="F454" s="18"/>
      <c r="G454" s="263"/>
      <c r="M454" s="263"/>
      <c r="R454" s="18"/>
      <c r="S454" s="18"/>
    </row>
    <row r="455">
      <c r="E455" s="18"/>
      <c r="F455" s="18"/>
      <c r="G455" s="263"/>
      <c r="M455" s="263"/>
      <c r="R455" s="18"/>
      <c r="S455" s="18"/>
    </row>
    <row r="456">
      <c r="E456" s="18"/>
      <c r="F456" s="18"/>
      <c r="G456" s="263"/>
      <c r="M456" s="263"/>
      <c r="R456" s="18"/>
      <c r="S456" s="18"/>
    </row>
    <row r="457">
      <c r="E457" s="18"/>
      <c r="F457" s="18"/>
      <c r="G457" s="263"/>
      <c r="M457" s="263"/>
      <c r="R457" s="18"/>
      <c r="S457" s="18"/>
    </row>
    <row r="458">
      <c r="E458" s="18"/>
      <c r="F458" s="18"/>
      <c r="G458" s="263"/>
      <c r="M458" s="263"/>
      <c r="R458" s="18"/>
      <c r="S458" s="18"/>
    </row>
    <row r="459">
      <c r="E459" s="18"/>
      <c r="F459" s="18"/>
      <c r="G459" s="263"/>
      <c r="M459" s="263"/>
      <c r="R459" s="18"/>
      <c r="S459" s="18"/>
    </row>
    <row r="460">
      <c r="E460" s="18"/>
      <c r="F460" s="18"/>
      <c r="G460" s="263"/>
      <c r="M460" s="263"/>
      <c r="R460" s="18"/>
      <c r="S460" s="18"/>
    </row>
    <row r="461">
      <c r="E461" s="18"/>
      <c r="F461" s="18"/>
      <c r="G461" s="263"/>
      <c r="M461" s="263"/>
      <c r="R461" s="18"/>
      <c r="S461" s="18"/>
    </row>
    <row r="462">
      <c r="E462" s="18"/>
      <c r="F462" s="18"/>
      <c r="G462" s="263"/>
      <c r="M462" s="263"/>
      <c r="R462" s="18"/>
      <c r="S462" s="18"/>
    </row>
    <row r="463">
      <c r="E463" s="18"/>
      <c r="F463" s="18"/>
      <c r="G463" s="263"/>
      <c r="M463" s="263"/>
      <c r="R463" s="18"/>
      <c r="S463" s="18"/>
    </row>
    <row r="464">
      <c r="E464" s="18"/>
      <c r="F464" s="18"/>
      <c r="G464" s="263"/>
      <c r="M464" s="263"/>
      <c r="R464" s="18"/>
      <c r="S464" s="18"/>
    </row>
    <row r="465">
      <c r="E465" s="18"/>
      <c r="F465" s="18"/>
      <c r="G465" s="263"/>
      <c r="M465" s="263"/>
      <c r="R465" s="18"/>
      <c r="S465" s="18"/>
    </row>
    <row r="466">
      <c r="E466" s="18"/>
      <c r="F466" s="18"/>
      <c r="G466" s="263"/>
      <c r="M466" s="263"/>
      <c r="R466" s="18"/>
      <c r="S466" s="18"/>
    </row>
    <row r="467">
      <c r="E467" s="18"/>
      <c r="F467" s="18"/>
      <c r="G467" s="263"/>
      <c r="M467" s="263"/>
      <c r="R467" s="18"/>
      <c r="S467" s="18"/>
    </row>
    <row r="468">
      <c r="E468" s="18"/>
      <c r="F468" s="18"/>
      <c r="G468" s="263"/>
      <c r="M468" s="263"/>
      <c r="R468" s="18"/>
      <c r="S468" s="18"/>
    </row>
    <row r="469">
      <c r="E469" s="18"/>
      <c r="F469" s="18"/>
      <c r="G469" s="263"/>
      <c r="M469" s="263"/>
      <c r="R469" s="18"/>
      <c r="S469" s="18"/>
    </row>
    <row r="470">
      <c r="E470" s="18"/>
      <c r="F470" s="18"/>
      <c r="G470" s="263"/>
      <c r="M470" s="263"/>
      <c r="R470" s="18"/>
      <c r="S470" s="18"/>
    </row>
    <row r="471">
      <c r="E471" s="18"/>
      <c r="F471" s="18"/>
      <c r="G471" s="263"/>
      <c r="M471" s="263"/>
      <c r="R471" s="18"/>
      <c r="S471" s="18"/>
    </row>
    <row r="472">
      <c r="E472" s="18"/>
      <c r="F472" s="18"/>
      <c r="G472" s="263"/>
      <c r="M472" s="263"/>
      <c r="R472" s="18"/>
      <c r="S472" s="18"/>
    </row>
    <row r="473">
      <c r="E473" s="18"/>
      <c r="F473" s="18"/>
      <c r="G473" s="263"/>
      <c r="M473" s="263"/>
      <c r="R473" s="18"/>
      <c r="S473" s="18"/>
    </row>
    <row r="474">
      <c r="E474" s="18"/>
      <c r="F474" s="18"/>
      <c r="G474" s="263"/>
      <c r="M474" s="263"/>
      <c r="R474" s="18"/>
      <c r="S474" s="18"/>
    </row>
    <row r="475">
      <c r="E475" s="18"/>
      <c r="F475" s="18"/>
      <c r="G475" s="263"/>
      <c r="M475" s="263"/>
      <c r="R475" s="18"/>
      <c r="S475" s="18"/>
    </row>
    <row r="476">
      <c r="E476" s="18"/>
      <c r="F476" s="18"/>
      <c r="G476" s="263"/>
      <c r="M476" s="263"/>
      <c r="R476" s="18"/>
      <c r="S476" s="18"/>
    </row>
    <row r="477">
      <c r="E477" s="18"/>
      <c r="F477" s="18"/>
      <c r="G477" s="263"/>
      <c r="M477" s="263"/>
      <c r="R477" s="18"/>
      <c r="S477" s="18"/>
    </row>
    <row r="478">
      <c r="E478" s="18"/>
      <c r="F478" s="18"/>
      <c r="G478" s="263"/>
      <c r="M478" s="263"/>
      <c r="R478" s="18"/>
      <c r="S478" s="18"/>
    </row>
    <row r="479">
      <c r="E479" s="18"/>
      <c r="F479" s="18"/>
      <c r="G479" s="263"/>
      <c r="M479" s="263"/>
      <c r="R479" s="18"/>
      <c r="S479" s="18"/>
    </row>
    <row r="480">
      <c r="E480" s="18"/>
      <c r="F480" s="18"/>
      <c r="G480" s="263"/>
      <c r="M480" s="263"/>
      <c r="R480" s="18"/>
      <c r="S480" s="18"/>
    </row>
    <row r="481">
      <c r="E481" s="18"/>
      <c r="F481" s="18"/>
      <c r="G481" s="263"/>
      <c r="M481" s="263"/>
      <c r="R481" s="18"/>
      <c r="S481" s="18"/>
    </row>
    <row r="482">
      <c r="E482" s="18"/>
      <c r="F482" s="18"/>
      <c r="G482" s="263"/>
      <c r="M482" s="263"/>
      <c r="R482" s="18"/>
      <c r="S482" s="18"/>
    </row>
    <row r="483">
      <c r="E483" s="18"/>
      <c r="F483" s="18"/>
      <c r="G483" s="263"/>
      <c r="M483" s="263"/>
      <c r="R483" s="18"/>
      <c r="S483" s="18"/>
    </row>
    <row r="484">
      <c r="E484" s="18"/>
      <c r="F484" s="18"/>
      <c r="G484" s="263"/>
      <c r="M484" s="263"/>
      <c r="R484" s="18"/>
      <c r="S484" s="18"/>
    </row>
    <row r="485">
      <c r="E485" s="18"/>
      <c r="F485" s="18"/>
      <c r="G485" s="263"/>
      <c r="M485" s="263"/>
      <c r="R485" s="18"/>
      <c r="S485" s="18"/>
    </row>
    <row r="486">
      <c r="E486" s="18"/>
      <c r="F486" s="18"/>
      <c r="G486" s="263"/>
      <c r="M486" s="263"/>
      <c r="R486" s="18"/>
      <c r="S486" s="18"/>
    </row>
    <row r="487">
      <c r="E487" s="18"/>
      <c r="F487" s="18"/>
      <c r="G487" s="263"/>
      <c r="M487" s="263"/>
      <c r="R487" s="18"/>
      <c r="S487" s="18"/>
    </row>
    <row r="488">
      <c r="E488" s="18"/>
      <c r="F488" s="18"/>
      <c r="G488" s="263"/>
      <c r="M488" s="263"/>
      <c r="R488" s="18"/>
      <c r="S488" s="18"/>
    </row>
    <row r="489">
      <c r="E489" s="18"/>
      <c r="F489" s="18"/>
      <c r="G489" s="263"/>
      <c r="M489" s="263"/>
      <c r="R489" s="18"/>
      <c r="S489" s="18"/>
    </row>
    <row r="490">
      <c r="E490" s="18"/>
      <c r="F490" s="18"/>
      <c r="G490" s="263"/>
      <c r="M490" s="263"/>
      <c r="R490" s="18"/>
      <c r="S490" s="18"/>
    </row>
    <row r="491">
      <c r="E491" s="18"/>
      <c r="F491" s="18"/>
      <c r="G491" s="263"/>
      <c r="M491" s="263"/>
      <c r="R491" s="18"/>
      <c r="S491" s="18"/>
    </row>
    <row r="492">
      <c r="E492" s="18"/>
      <c r="F492" s="18"/>
      <c r="G492" s="263"/>
      <c r="M492" s="263"/>
      <c r="R492" s="18"/>
      <c r="S492" s="18"/>
    </row>
    <row r="493">
      <c r="E493" s="18"/>
      <c r="F493" s="18"/>
      <c r="G493" s="263"/>
      <c r="M493" s="263"/>
      <c r="R493" s="18"/>
      <c r="S493" s="18"/>
    </row>
    <row r="494">
      <c r="E494" s="18"/>
      <c r="F494" s="18"/>
      <c r="G494" s="263"/>
      <c r="M494" s="263"/>
      <c r="R494" s="18"/>
      <c r="S494" s="18"/>
    </row>
    <row r="495">
      <c r="E495" s="18"/>
      <c r="F495" s="18"/>
      <c r="G495" s="263"/>
      <c r="M495" s="263"/>
      <c r="R495" s="18"/>
      <c r="S495" s="18"/>
    </row>
    <row r="496">
      <c r="E496" s="18"/>
      <c r="F496" s="18"/>
      <c r="G496" s="263"/>
      <c r="M496" s="263"/>
      <c r="R496" s="18"/>
      <c r="S496" s="18"/>
    </row>
    <row r="497">
      <c r="E497" s="18"/>
      <c r="F497" s="18"/>
      <c r="G497" s="263"/>
      <c r="M497" s="263"/>
      <c r="R497" s="18"/>
      <c r="S497" s="18"/>
    </row>
    <row r="498">
      <c r="E498" s="18"/>
      <c r="F498" s="18"/>
      <c r="G498" s="263"/>
      <c r="M498" s="263"/>
      <c r="R498" s="18"/>
      <c r="S498" s="18"/>
    </row>
    <row r="499">
      <c r="E499" s="18"/>
      <c r="F499" s="18"/>
      <c r="G499" s="263"/>
      <c r="M499" s="263"/>
      <c r="R499" s="18"/>
      <c r="S499" s="18"/>
    </row>
    <row r="500">
      <c r="E500" s="18"/>
      <c r="F500" s="18"/>
      <c r="G500" s="263"/>
      <c r="M500" s="263"/>
      <c r="R500" s="18"/>
      <c r="S500" s="18"/>
    </row>
    <row r="501">
      <c r="E501" s="18"/>
      <c r="F501" s="18"/>
      <c r="G501" s="263"/>
      <c r="M501" s="263"/>
      <c r="R501" s="18"/>
      <c r="S501" s="18"/>
    </row>
    <row r="502">
      <c r="E502" s="18"/>
      <c r="F502" s="18"/>
      <c r="G502" s="263"/>
      <c r="M502" s="263"/>
      <c r="R502" s="18"/>
      <c r="S502" s="18"/>
    </row>
    <row r="503">
      <c r="E503" s="18"/>
      <c r="F503" s="18"/>
      <c r="G503" s="263"/>
      <c r="M503" s="263"/>
      <c r="R503" s="18"/>
      <c r="S503" s="18"/>
    </row>
    <row r="504">
      <c r="E504" s="18"/>
      <c r="F504" s="18"/>
      <c r="G504" s="263"/>
      <c r="M504" s="263"/>
      <c r="R504" s="18"/>
      <c r="S504" s="18"/>
    </row>
    <row r="505">
      <c r="E505" s="18"/>
      <c r="F505" s="18"/>
      <c r="G505" s="263"/>
      <c r="M505" s="263"/>
      <c r="R505" s="18"/>
      <c r="S505" s="18"/>
    </row>
    <row r="506">
      <c r="E506" s="18"/>
      <c r="F506" s="18"/>
      <c r="G506" s="263"/>
      <c r="M506" s="263"/>
      <c r="R506" s="18"/>
      <c r="S506" s="18"/>
    </row>
    <row r="507">
      <c r="E507" s="18"/>
      <c r="F507" s="18"/>
      <c r="G507" s="263"/>
      <c r="M507" s="263"/>
      <c r="R507" s="18"/>
      <c r="S507" s="18"/>
    </row>
    <row r="508">
      <c r="E508" s="18"/>
      <c r="F508" s="18"/>
      <c r="G508" s="263"/>
      <c r="M508" s="263"/>
      <c r="R508" s="18"/>
      <c r="S508" s="18"/>
    </row>
    <row r="509">
      <c r="E509" s="18"/>
      <c r="F509" s="18"/>
      <c r="G509" s="263"/>
      <c r="M509" s="263"/>
      <c r="R509" s="18"/>
      <c r="S509" s="18"/>
    </row>
    <row r="510">
      <c r="E510" s="18"/>
      <c r="F510" s="18"/>
      <c r="G510" s="263"/>
      <c r="M510" s="263"/>
      <c r="R510" s="18"/>
      <c r="S510" s="18"/>
    </row>
    <row r="511">
      <c r="E511" s="18"/>
      <c r="F511" s="18"/>
      <c r="G511" s="263"/>
      <c r="M511" s="263"/>
      <c r="R511" s="18"/>
      <c r="S511" s="18"/>
    </row>
    <row r="512">
      <c r="E512" s="18"/>
      <c r="F512" s="18"/>
      <c r="G512" s="263"/>
      <c r="M512" s="263"/>
      <c r="R512" s="18"/>
      <c r="S512" s="18"/>
    </row>
    <row r="513">
      <c r="E513" s="18"/>
      <c r="F513" s="18"/>
      <c r="G513" s="263"/>
      <c r="M513" s="263"/>
      <c r="R513" s="18"/>
      <c r="S513" s="18"/>
    </row>
    <row r="514">
      <c r="E514" s="18"/>
      <c r="F514" s="18"/>
      <c r="G514" s="263"/>
      <c r="M514" s="263"/>
      <c r="R514" s="18"/>
      <c r="S514" s="18"/>
    </row>
    <row r="515">
      <c r="E515" s="18"/>
      <c r="F515" s="18"/>
      <c r="G515" s="263"/>
      <c r="M515" s="263"/>
      <c r="R515" s="18"/>
      <c r="S515" s="18"/>
    </row>
    <row r="516">
      <c r="E516" s="18"/>
      <c r="F516" s="18"/>
      <c r="G516" s="263"/>
      <c r="M516" s="263"/>
      <c r="R516" s="18"/>
      <c r="S516" s="18"/>
    </row>
    <row r="517">
      <c r="E517" s="18"/>
      <c r="F517" s="18"/>
      <c r="G517" s="263"/>
      <c r="M517" s="263"/>
      <c r="R517" s="18"/>
      <c r="S517" s="18"/>
    </row>
    <row r="518">
      <c r="E518" s="18"/>
      <c r="F518" s="18"/>
      <c r="G518" s="263"/>
      <c r="M518" s="263"/>
      <c r="R518" s="18"/>
      <c r="S518" s="18"/>
    </row>
    <row r="519">
      <c r="E519" s="18"/>
      <c r="F519" s="18"/>
      <c r="G519" s="263"/>
      <c r="M519" s="263"/>
      <c r="R519" s="18"/>
      <c r="S519" s="18"/>
    </row>
    <row r="520">
      <c r="E520" s="18"/>
      <c r="F520" s="18"/>
      <c r="G520" s="263"/>
      <c r="M520" s="263"/>
      <c r="R520" s="18"/>
      <c r="S520" s="18"/>
    </row>
    <row r="521">
      <c r="E521" s="18"/>
      <c r="F521" s="18"/>
      <c r="G521" s="263"/>
      <c r="M521" s="263"/>
      <c r="R521" s="18"/>
      <c r="S521" s="18"/>
    </row>
    <row r="522">
      <c r="E522" s="18"/>
      <c r="F522" s="18"/>
      <c r="G522" s="263"/>
      <c r="M522" s="263"/>
      <c r="R522" s="18"/>
      <c r="S522" s="18"/>
    </row>
    <row r="523">
      <c r="E523" s="18"/>
      <c r="F523" s="18"/>
      <c r="G523" s="263"/>
      <c r="M523" s="263"/>
      <c r="R523" s="18"/>
      <c r="S523" s="18"/>
    </row>
    <row r="524">
      <c r="E524" s="18"/>
      <c r="F524" s="18"/>
      <c r="G524" s="263"/>
      <c r="M524" s="263"/>
      <c r="R524" s="18"/>
      <c r="S524" s="18"/>
    </row>
    <row r="525">
      <c r="E525" s="18"/>
      <c r="F525" s="18"/>
      <c r="G525" s="263"/>
      <c r="M525" s="263"/>
      <c r="R525" s="18"/>
      <c r="S525" s="18"/>
    </row>
    <row r="526">
      <c r="E526" s="18"/>
      <c r="F526" s="18"/>
      <c r="G526" s="263"/>
      <c r="M526" s="263"/>
      <c r="R526" s="18"/>
      <c r="S526" s="18"/>
    </row>
    <row r="527">
      <c r="E527" s="18"/>
      <c r="F527" s="18"/>
      <c r="G527" s="263"/>
      <c r="M527" s="263"/>
      <c r="R527" s="18"/>
      <c r="S527" s="18"/>
    </row>
    <row r="528">
      <c r="E528" s="18"/>
      <c r="F528" s="18"/>
      <c r="G528" s="263"/>
      <c r="M528" s="263"/>
      <c r="R528" s="18"/>
      <c r="S528" s="18"/>
    </row>
    <row r="529">
      <c r="E529" s="18"/>
      <c r="F529" s="18"/>
      <c r="G529" s="263"/>
      <c r="M529" s="263"/>
      <c r="R529" s="18"/>
      <c r="S529" s="18"/>
    </row>
    <row r="530">
      <c r="E530" s="18"/>
      <c r="F530" s="18"/>
      <c r="G530" s="263"/>
      <c r="M530" s="263"/>
      <c r="R530" s="18"/>
      <c r="S530" s="18"/>
    </row>
    <row r="531">
      <c r="E531" s="18"/>
      <c r="F531" s="18"/>
      <c r="G531" s="263"/>
      <c r="M531" s="263"/>
      <c r="R531" s="18"/>
      <c r="S531" s="18"/>
    </row>
    <row r="532">
      <c r="E532" s="18"/>
      <c r="F532" s="18"/>
      <c r="G532" s="263"/>
      <c r="M532" s="263"/>
      <c r="R532" s="18"/>
      <c r="S532" s="18"/>
    </row>
    <row r="533">
      <c r="E533" s="18"/>
      <c r="F533" s="18"/>
      <c r="G533" s="263"/>
      <c r="M533" s="263"/>
      <c r="R533" s="18"/>
      <c r="S533" s="18"/>
    </row>
    <row r="534">
      <c r="E534" s="18"/>
      <c r="F534" s="18"/>
      <c r="G534" s="263"/>
      <c r="M534" s="263"/>
      <c r="R534" s="18"/>
      <c r="S534" s="18"/>
    </row>
    <row r="535">
      <c r="E535" s="18"/>
      <c r="F535" s="18"/>
      <c r="G535" s="263"/>
      <c r="M535" s="263"/>
      <c r="R535" s="18"/>
      <c r="S535" s="18"/>
    </row>
    <row r="536">
      <c r="E536" s="18"/>
      <c r="F536" s="18"/>
      <c r="G536" s="263"/>
      <c r="M536" s="263"/>
      <c r="R536" s="18"/>
      <c r="S536" s="18"/>
    </row>
    <row r="537">
      <c r="E537" s="18"/>
      <c r="F537" s="18"/>
      <c r="G537" s="263"/>
      <c r="M537" s="263"/>
      <c r="R537" s="18"/>
      <c r="S537" s="18"/>
    </row>
    <row r="538">
      <c r="E538" s="18"/>
      <c r="F538" s="18"/>
      <c r="G538" s="263"/>
      <c r="M538" s="263"/>
      <c r="R538" s="18"/>
      <c r="S538" s="18"/>
    </row>
    <row r="539">
      <c r="E539" s="18"/>
      <c r="F539" s="18"/>
      <c r="G539" s="263"/>
      <c r="M539" s="263"/>
      <c r="R539" s="18"/>
      <c r="S539" s="18"/>
    </row>
    <row r="540">
      <c r="E540" s="18"/>
      <c r="F540" s="18"/>
      <c r="G540" s="263"/>
      <c r="M540" s="263"/>
      <c r="R540" s="18"/>
      <c r="S540" s="18"/>
    </row>
    <row r="541">
      <c r="E541" s="18"/>
      <c r="F541" s="18"/>
      <c r="G541" s="263"/>
      <c r="M541" s="263"/>
      <c r="R541" s="18"/>
      <c r="S541" s="18"/>
    </row>
    <row r="542">
      <c r="E542" s="18"/>
      <c r="F542" s="18"/>
      <c r="G542" s="263"/>
      <c r="M542" s="263"/>
      <c r="R542" s="18"/>
      <c r="S542" s="18"/>
    </row>
    <row r="543">
      <c r="E543" s="18"/>
      <c r="F543" s="18"/>
      <c r="G543" s="263"/>
      <c r="M543" s="263"/>
      <c r="R543" s="18"/>
      <c r="S543" s="18"/>
    </row>
    <row r="544">
      <c r="E544" s="18"/>
      <c r="F544" s="18"/>
      <c r="G544" s="263"/>
      <c r="M544" s="263"/>
      <c r="R544" s="18"/>
      <c r="S544" s="18"/>
    </row>
    <row r="545">
      <c r="E545" s="18"/>
      <c r="F545" s="18"/>
      <c r="G545" s="263"/>
      <c r="M545" s="263"/>
      <c r="R545" s="18"/>
      <c r="S545" s="18"/>
    </row>
    <row r="546">
      <c r="E546" s="18"/>
      <c r="F546" s="18"/>
      <c r="G546" s="263"/>
      <c r="M546" s="263"/>
      <c r="R546" s="18"/>
      <c r="S546" s="18"/>
    </row>
    <row r="547">
      <c r="E547" s="18"/>
      <c r="F547" s="18"/>
      <c r="G547" s="263"/>
      <c r="M547" s="263"/>
      <c r="R547" s="18"/>
      <c r="S547" s="18"/>
    </row>
    <row r="548">
      <c r="E548" s="18"/>
      <c r="F548" s="18"/>
      <c r="G548" s="263"/>
      <c r="M548" s="263"/>
      <c r="R548" s="18"/>
      <c r="S548" s="18"/>
    </row>
    <row r="549">
      <c r="E549" s="18"/>
      <c r="F549" s="18"/>
      <c r="G549" s="263"/>
      <c r="M549" s="263"/>
      <c r="R549" s="18"/>
      <c r="S549" s="18"/>
    </row>
    <row r="550">
      <c r="E550" s="18"/>
      <c r="F550" s="18"/>
      <c r="G550" s="263"/>
      <c r="M550" s="263"/>
      <c r="R550" s="18"/>
      <c r="S550" s="18"/>
    </row>
    <row r="551">
      <c r="E551" s="18"/>
      <c r="F551" s="18"/>
      <c r="G551" s="263"/>
      <c r="M551" s="263"/>
      <c r="R551" s="18"/>
      <c r="S551" s="18"/>
    </row>
    <row r="552">
      <c r="E552" s="18"/>
      <c r="F552" s="18"/>
      <c r="G552" s="263"/>
      <c r="M552" s="263"/>
      <c r="R552" s="18"/>
      <c r="S552" s="18"/>
    </row>
    <row r="553">
      <c r="E553" s="18"/>
      <c r="F553" s="18"/>
      <c r="G553" s="263"/>
      <c r="M553" s="263"/>
      <c r="R553" s="18"/>
      <c r="S553" s="18"/>
    </row>
    <row r="554">
      <c r="E554" s="18"/>
      <c r="F554" s="18"/>
      <c r="G554" s="263"/>
      <c r="M554" s="263"/>
      <c r="R554" s="18"/>
      <c r="S554" s="18"/>
    </row>
    <row r="555">
      <c r="E555" s="18"/>
      <c r="F555" s="18"/>
      <c r="G555" s="263"/>
      <c r="M555" s="263"/>
      <c r="R555" s="18"/>
      <c r="S555" s="18"/>
    </row>
    <row r="556">
      <c r="E556" s="18"/>
      <c r="F556" s="18"/>
      <c r="G556" s="263"/>
      <c r="M556" s="263"/>
      <c r="R556" s="18"/>
      <c r="S556" s="18"/>
    </row>
    <row r="557">
      <c r="E557" s="18"/>
      <c r="F557" s="18"/>
      <c r="G557" s="263"/>
      <c r="M557" s="263"/>
      <c r="R557" s="18"/>
      <c r="S557" s="18"/>
    </row>
    <row r="558">
      <c r="E558" s="18"/>
      <c r="F558" s="18"/>
      <c r="G558" s="263"/>
      <c r="M558" s="263"/>
      <c r="R558" s="18"/>
      <c r="S558" s="18"/>
    </row>
    <row r="559">
      <c r="E559" s="18"/>
      <c r="F559" s="18"/>
      <c r="G559" s="263"/>
      <c r="M559" s="263"/>
      <c r="R559" s="18"/>
      <c r="S559" s="18"/>
    </row>
    <row r="560">
      <c r="E560" s="18"/>
      <c r="F560" s="18"/>
      <c r="G560" s="263"/>
      <c r="M560" s="263"/>
      <c r="R560" s="18"/>
      <c r="S560" s="18"/>
    </row>
    <row r="561">
      <c r="E561" s="18"/>
      <c r="F561" s="18"/>
      <c r="G561" s="263"/>
      <c r="M561" s="263"/>
      <c r="R561" s="18"/>
      <c r="S561" s="18"/>
    </row>
    <row r="562">
      <c r="E562" s="18"/>
      <c r="F562" s="18"/>
      <c r="G562" s="263"/>
      <c r="M562" s="263"/>
      <c r="R562" s="18"/>
      <c r="S562" s="18"/>
    </row>
    <row r="563">
      <c r="E563" s="18"/>
      <c r="F563" s="18"/>
      <c r="G563" s="263"/>
      <c r="M563" s="263"/>
      <c r="R563" s="18"/>
      <c r="S563" s="18"/>
    </row>
    <row r="564">
      <c r="E564" s="18"/>
      <c r="F564" s="18"/>
      <c r="G564" s="263"/>
      <c r="M564" s="263"/>
      <c r="R564" s="18"/>
      <c r="S564" s="18"/>
    </row>
    <row r="565">
      <c r="E565" s="18"/>
      <c r="F565" s="18"/>
      <c r="G565" s="263"/>
      <c r="M565" s="263"/>
      <c r="R565" s="18"/>
      <c r="S565" s="18"/>
    </row>
    <row r="566">
      <c r="E566" s="18"/>
      <c r="F566" s="18"/>
      <c r="G566" s="263"/>
      <c r="M566" s="263"/>
      <c r="R566" s="18"/>
      <c r="S566" s="18"/>
    </row>
    <row r="567">
      <c r="E567" s="18"/>
      <c r="F567" s="18"/>
      <c r="G567" s="263"/>
      <c r="M567" s="263"/>
      <c r="R567" s="18"/>
      <c r="S567" s="18"/>
    </row>
    <row r="568">
      <c r="E568" s="18"/>
      <c r="F568" s="18"/>
      <c r="G568" s="263"/>
      <c r="M568" s="263"/>
      <c r="R568" s="18"/>
      <c r="S568" s="18"/>
    </row>
    <row r="569">
      <c r="E569" s="18"/>
      <c r="F569" s="18"/>
      <c r="G569" s="263"/>
      <c r="M569" s="263"/>
      <c r="R569" s="18"/>
      <c r="S569" s="18"/>
    </row>
    <row r="570">
      <c r="E570" s="18"/>
      <c r="F570" s="18"/>
      <c r="G570" s="263"/>
      <c r="M570" s="263"/>
      <c r="R570" s="18"/>
      <c r="S570" s="18"/>
    </row>
    <row r="571">
      <c r="E571" s="18"/>
      <c r="F571" s="18"/>
      <c r="G571" s="263"/>
      <c r="M571" s="263"/>
      <c r="R571" s="18"/>
      <c r="S571" s="18"/>
    </row>
    <row r="572">
      <c r="E572" s="18"/>
      <c r="F572" s="18"/>
      <c r="G572" s="263"/>
      <c r="M572" s="263"/>
      <c r="R572" s="18"/>
      <c r="S572" s="18"/>
    </row>
    <row r="573">
      <c r="E573" s="18"/>
      <c r="F573" s="18"/>
      <c r="G573" s="263"/>
      <c r="M573" s="263"/>
      <c r="R573" s="18"/>
      <c r="S573" s="18"/>
    </row>
    <row r="574">
      <c r="E574" s="18"/>
      <c r="F574" s="18"/>
      <c r="G574" s="263"/>
      <c r="M574" s="263"/>
      <c r="R574" s="18"/>
      <c r="S574" s="18"/>
    </row>
    <row r="575">
      <c r="E575" s="18"/>
      <c r="F575" s="18"/>
      <c r="G575" s="263"/>
      <c r="M575" s="263"/>
      <c r="R575" s="18"/>
      <c r="S575" s="18"/>
    </row>
    <row r="576">
      <c r="E576" s="18"/>
      <c r="F576" s="18"/>
      <c r="G576" s="263"/>
      <c r="M576" s="263"/>
      <c r="R576" s="18"/>
      <c r="S576" s="18"/>
    </row>
    <row r="577">
      <c r="E577" s="18"/>
      <c r="F577" s="18"/>
      <c r="G577" s="263"/>
      <c r="M577" s="263"/>
      <c r="R577" s="18"/>
      <c r="S577" s="18"/>
    </row>
    <row r="578">
      <c r="E578" s="18"/>
      <c r="F578" s="18"/>
      <c r="G578" s="263"/>
      <c r="M578" s="263"/>
      <c r="R578" s="18"/>
      <c r="S578" s="18"/>
    </row>
    <row r="579">
      <c r="E579" s="18"/>
      <c r="F579" s="18"/>
      <c r="G579" s="263"/>
      <c r="M579" s="263"/>
      <c r="R579" s="18"/>
      <c r="S579" s="18"/>
    </row>
    <row r="580">
      <c r="E580" s="18"/>
      <c r="F580" s="18"/>
      <c r="G580" s="263"/>
      <c r="M580" s="263"/>
      <c r="R580" s="18"/>
      <c r="S580" s="18"/>
    </row>
    <row r="581">
      <c r="E581" s="18"/>
      <c r="F581" s="18"/>
      <c r="G581" s="263"/>
      <c r="M581" s="263"/>
      <c r="R581" s="18"/>
      <c r="S581" s="18"/>
    </row>
    <row r="582">
      <c r="E582" s="18"/>
      <c r="F582" s="18"/>
      <c r="G582" s="263"/>
      <c r="M582" s="263"/>
      <c r="R582" s="18"/>
      <c r="S582" s="18"/>
    </row>
    <row r="583">
      <c r="E583" s="18"/>
      <c r="F583" s="18"/>
      <c r="G583" s="263"/>
      <c r="M583" s="263"/>
      <c r="R583" s="18"/>
      <c r="S583" s="18"/>
    </row>
    <row r="584">
      <c r="E584" s="18"/>
      <c r="F584" s="18"/>
      <c r="G584" s="263"/>
      <c r="M584" s="263"/>
      <c r="R584" s="18"/>
      <c r="S584" s="18"/>
    </row>
    <row r="585">
      <c r="E585" s="18"/>
      <c r="F585" s="18"/>
      <c r="G585" s="263"/>
      <c r="M585" s="263"/>
      <c r="R585" s="18"/>
      <c r="S585" s="18"/>
    </row>
    <row r="586">
      <c r="E586" s="18"/>
      <c r="F586" s="18"/>
      <c r="G586" s="263"/>
      <c r="M586" s="263"/>
      <c r="R586" s="18"/>
      <c r="S586" s="18"/>
    </row>
    <row r="587">
      <c r="E587" s="18"/>
      <c r="F587" s="18"/>
      <c r="G587" s="263"/>
      <c r="M587" s="263"/>
      <c r="R587" s="18"/>
      <c r="S587" s="18"/>
    </row>
    <row r="588">
      <c r="E588" s="18"/>
      <c r="F588" s="18"/>
      <c r="G588" s="263"/>
      <c r="M588" s="263"/>
      <c r="R588" s="18"/>
      <c r="S588" s="18"/>
    </row>
    <row r="589">
      <c r="E589" s="18"/>
      <c r="F589" s="18"/>
      <c r="G589" s="263"/>
      <c r="M589" s="263"/>
      <c r="R589" s="18"/>
      <c r="S589" s="18"/>
    </row>
    <row r="590">
      <c r="E590" s="18"/>
      <c r="F590" s="18"/>
      <c r="G590" s="263"/>
      <c r="M590" s="263"/>
      <c r="R590" s="18"/>
      <c r="S590" s="18"/>
    </row>
    <row r="591">
      <c r="E591" s="18"/>
      <c r="F591" s="18"/>
      <c r="G591" s="263"/>
      <c r="M591" s="263"/>
      <c r="R591" s="18"/>
      <c r="S591" s="18"/>
    </row>
    <row r="592">
      <c r="E592" s="18"/>
      <c r="F592" s="18"/>
      <c r="G592" s="263"/>
      <c r="M592" s="263"/>
      <c r="R592" s="18"/>
      <c r="S592" s="18"/>
    </row>
    <row r="593">
      <c r="E593" s="18"/>
      <c r="F593" s="18"/>
      <c r="G593" s="263"/>
      <c r="M593" s="263"/>
      <c r="R593" s="18"/>
      <c r="S593" s="18"/>
    </row>
    <row r="594">
      <c r="E594" s="18"/>
      <c r="F594" s="18"/>
      <c r="G594" s="263"/>
      <c r="M594" s="263"/>
      <c r="R594" s="18"/>
      <c r="S594" s="18"/>
    </row>
    <row r="595">
      <c r="E595" s="18"/>
      <c r="F595" s="18"/>
      <c r="G595" s="263"/>
      <c r="M595" s="263"/>
      <c r="R595" s="18"/>
      <c r="S595" s="18"/>
    </row>
    <row r="596">
      <c r="E596" s="18"/>
      <c r="F596" s="18"/>
      <c r="G596" s="263"/>
      <c r="M596" s="263"/>
      <c r="R596" s="18"/>
      <c r="S596" s="18"/>
    </row>
    <row r="597">
      <c r="E597" s="18"/>
      <c r="F597" s="18"/>
      <c r="G597" s="263"/>
      <c r="M597" s="263"/>
      <c r="R597" s="18"/>
      <c r="S597" s="18"/>
    </row>
    <row r="598">
      <c r="E598" s="18"/>
      <c r="F598" s="18"/>
      <c r="G598" s="263"/>
      <c r="M598" s="263"/>
      <c r="R598" s="18"/>
      <c r="S598" s="18"/>
    </row>
    <row r="599">
      <c r="E599" s="18"/>
      <c r="F599" s="18"/>
      <c r="G599" s="263"/>
      <c r="M599" s="263"/>
      <c r="R599" s="18"/>
      <c r="S599" s="18"/>
    </row>
    <row r="600">
      <c r="E600" s="18"/>
      <c r="F600" s="18"/>
      <c r="G600" s="263"/>
      <c r="M600" s="263"/>
      <c r="R600" s="18"/>
      <c r="S600" s="18"/>
    </row>
    <row r="601">
      <c r="E601" s="18"/>
      <c r="F601" s="18"/>
      <c r="G601" s="263"/>
      <c r="M601" s="263"/>
      <c r="R601" s="18"/>
      <c r="S601" s="18"/>
    </row>
    <row r="602">
      <c r="E602" s="18"/>
      <c r="F602" s="18"/>
      <c r="G602" s="263"/>
      <c r="M602" s="263"/>
      <c r="R602" s="18"/>
      <c r="S602" s="18"/>
    </row>
    <row r="603">
      <c r="E603" s="18"/>
      <c r="F603" s="18"/>
      <c r="G603" s="263"/>
      <c r="M603" s="263"/>
      <c r="R603" s="18"/>
      <c r="S603" s="18"/>
    </row>
    <row r="604">
      <c r="E604" s="18"/>
      <c r="F604" s="18"/>
      <c r="G604" s="263"/>
      <c r="M604" s="263"/>
      <c r="R604" s="18"/>
      <c r="S604" s="18"/>
    </row>
    <row r="605">
      <c r="E605" s="18"/>
      <c r="F605" s="18"/>
      <c r="G605" s="263"/>
      <c r="M605" s="263"/>
      <c r="R605" s="18"/>
      <c r="S605" s="18"/>
    </row>
    <row r="606">
      <c r="E606" s="18"/>
      <c r="F606" s="18"/>
      <c r="G606" s="263"/>
      <c r="M606" s="263"/>
      <c r="R606" s="18"/>
      <c r="S606" s="18"/>
    </row>
    <row r="607">
      <c r="E607" s="18"/>
      <c r="F607" s="18"/>
      <c r="G607" s="263"/>
      <c r="M607" s="263"/>
      <c r="R607" s="18"/>
      <c r="S607" s="18"/>
    </row>
    <row r="608">
      <c r="E608" s="18"/>
      <c r="F608" s="18"/>
      <c r="G608" s="263"/>
      <c r="M608" s="263"/>
      <c r="R608" s="18"/>
      <c r="S608" s="18"/>
    </row>
    <row r="609">
      <c r="E609" s="18"/>
      <c r="F609" s="18"/>
      <c r="G609" s="263"/>
      <c r="M609" s="263"/>
      <c r="R609" s="18"/>
      <c r="S609" s="18"/>
    </row>
    <row r="610">
      <c r="E610" s="18"/>
      <c r="F610" s="18"/>
      <c r="G610" s="263"/>
      <c r="M610" s="263"/>
      <c r="R610" s="18"/>
      <c r="S610" s="18"/>
    </row>
    <row r="611">
      <c r="E611" s="18"/>
      <c r="F611" s="18"/>
      <c r="G611" s="263"/>
      <c r="M611" s="263"/>
      <c r="R611" s="18"/>
      <c r="S611" s="18"/>
    </row>
    <row r="612">
      <c r="E612" s="18"/>
      <c r="F612" s="18"/>
      <c r="G612" s="263"/>
      <c r="M612" s="263"/>
      <c r="R612" s="18"/>
      <c r="S612" s="18"/>
    </row>
    <row r="613">
      <c r="E613" s="18"/>
      <c r="F613" s="18"/>
      <c r="G613" s="263"/>
      <c r="M613" s="263"/>
      <c r="R613" s="18"/>
      <c r="S613" s="18"/>
    </row>
    <row r="614">
      <c r="E614" s="18"/>
      <c r="F614" s="18"/>
      <c r="G614" s="263"/>
      <c r="M614" s="263"/>
      <c r="R614" s="18"/>
      <c r="S614" s="18"/>
    </row>
    <row r="615">
      <c r="E615" s="18"/>
      <c r="F615" s="18"/>
      <c r="G615" s="263"/>
      <c r="M615" s="263"/>
      <c r="R615" s="18"/>
      <c r="S615" s="18"/>
    </row>
    <row r="616">
      <c r="E616" s="18"/>
      <c r="F616" s="18"/>
      <c r="G616" s="263"/>
      <c r="M616" s="263"/>
      <c r="R616" s="18"/>
      <c r="S616" s="18"/>
    </row>
    <row r="617">
      <c r="E617" s="18"/>
      <c r="F617" s="18"/>
      <c r="G617" s="263"/>
      <c r="M617" s="263"/>
      <c r="R617" s="18"/>
      <c r="S617" s="18"/>
    </row>
    <row r="618">
      <c r="E618" s="18"/>
      <c r="F618" s="18"/>
      <c r="G618" s="263"/>
      <c r="M618" s="263"/>
      <c r="R618" s="18"/>
      <c r="S618" s="18"/>
    </row>
    <row r="619">
      <c r="E619" s="18"/>
      <c r="F619" s="18"/>
      <c r="G619" s="263"/>
      <c r="M619" s="263"/>
      <c r="R619" s="18"/>
      <c r="S619" s="18"/>
    </row>
    <row r="620">
      <c r="E620" s="18"/>
      <c r="F620" s="18"/>
      <c r="G620" s="263"/>
      <c r="M620" s="263"/>
      <c r="R620" s="18"/>
      <c r="S620" s="18"/>
    </row>
    <row r="621">
      <c r="E621" s="18"/>
      <c r="F621" s="18"/>
      <c r="G621" s="263"/>
      <c r="M621" s="263"/>
      <c r="R621" s="18"/>
      <c r="S621" s="18"/>
    </row>
    <row r="622">
      <c r="E622" s="18"/>
      <c r="F622" s="18"/>
      <c r="G622" s="263"/>
      <c r="M622" s="263"/>
      <c r="R622" s="18"/>
      <c r="S622" s="18"/>
    </row>
    <row r="623">
      <c r="E623" s="18"/>
      <c r="F623" s="18"/>
      <c r="G623" s="263"/>
      <c r="M623" s="263"/>
      <c r="R623" s="18"/>
      <c r="S623" s="18"/>
    </row>
    <row r="624">
      <c r="E624" s="18"/>
      <c r="F624" s="18"/>
      <c r="G624" s="263"/>
      <c r="M624" s="263"/>
      <c r="R624" s="18"/>
      <c r="S624" s="18"/>
    </row>
    <row r="625">
      <c r="E625" s="18"/>
      <c r="F625" s="18"/>
      <c r="G625" s="263"/>
      <c r="M625" s="263"/>
      <c r="R625" s="18"/>
      <c r="S625" s="18"/>
    </row>
    <row r="626">
      <c r="E626" s="18"/>
      <c r="F626" s="18"/>
      <c r="G626" s="263"/>
      <c r="M626" s="263"/>
      <c r="R626" s="18"/>
      <c r="S626" s="18"/>
    </row>
    <row r="627">
      <c r="E627" s="18"/>
      <c r="F627" s="18"/>
      <c r="G627" s="263"/>
      <c r="M627" s="263"/>
      <c r="R627" s="18"/>
      <c r="S627" s="18"/>
    </row>
    <row r="628">
      <c r="E628" s="18"/>
      <c r="F628" s="18"/>
      <c r="G628" s="263"/>
      <c r="M628" s="263"/>
      <c r="R628" s="18"/>
      <c r="S628" s="18"/>
    </row>
    <row r="629">
      <c r="E629" s="18"/>
      <c r="F629" s="18"/>
      <c r="G629" s="263"/>
      <c r="M629" s="263"/>
      <c r="R629" s="18"/>
      <c r="S629" s="18"/>
    </row>
    <row r="630">
      <c r="E630" s="18"/>
      <c r="F630" s="18"/>
      <c r="G630" s="263"/>
      <c r="M630" s="263"/>
      <c r="R630" s="18"/>
      <c r="S630" s="18"/>
    </row>
    <row r="631">
      <c r="E631" s="18"/>
      <c r="F631" s="18"/>
      <c r="G631" s="263"/>
      <c r="M631" s="263"/>
      <c r="R631" s="18"/>
      <c r="S631" s="18"/>
    </row>
    <row r="632">
      <c r="E632" s="18"/>
      <c r="F632" s="18"/>
      <c r="G632" s="263"/>
      <c r="M632" s="263"/>
      <c r="R632" s="18"/>
      <c r="S632" s="18"/>
    </row>
    <row r="633">
      <c r="E633" s="18"/>
      <c r="F633" s="18"/>
      <c r="G633" s="263"/>
      <c r="M633" s="263"/>
      <c r="R633" s="18"/>
      <c r="S633" s="18"/>
    </row>
    <row r="634">
      <c r="E634" s="18"/>
      <c r="F634" s="18"/>
      <c r="G634" s="263"/>
      <c r="M634" s="263"/>
      <c r="R634" s="18"/>
      <c r="S634" s="18"/>
    </row>
    <row r="635">
      <c r="E635" s="18"/>
      <c r="F635" s="18"/>
      <c r="G635" s="263"/>
      <c r="M635" s="263"/>
      <c r="R635" s="18"/>
      <c r="S635" s="18"/>
    </row>
    <row r="636">
      <c r="E636" s="18"/>
      <c r="F636" s="18"/>
      <c r="G636" s="263"/>
      <c r="M636" s="263"/>
      <c r="R636" s="18"/>
      <c r="S636" s="18"/>
    </row>
    <row r="637">
      <c r="E637" s="18"/>
      <c r="F637" s="18"/>
      <c r="G637" s="263"/>
      <c r="M637" s="263"/>
      <c r="R637" s="18"/>
      <c r="S637" s="18"/>
    </row>
    <row r="638">
      <c r="E638" s="18"/>
      <c r="F638" s="18"/>
      <c r="G638" s="263"/>
      <c r="M638" s="263"/>
      <c r="R638" s="18"/>
      <c r="S638" s="18"/>
    </row>
    <row r="639">
      <c r="E639" s="18"/>
      <c r="F639" s="18"/>
      <c r="G639" s="263"/>
      <c r="M639" s="263"/>
      <c r="R639" s="18"/>
      <c r="S639" s="18"/>
    </row>
    <row r="640">
      <c r="E640" s="18"/>
      <c r="F640" s="18"/>
      <c r="G640" s="263"/>
      <c r="M640" s="263"/>
      <c r="R640" s="18"/>
      <c r="S640" s="18"/>
    </row>
    <row r="641">
      <c r="E641" s="18"/>
      <c r="F641" s="18"/>
      <c r="G641" s="263"/>
      <c r="M641" s="263"/>
      <c r="R641" s="18"/>
      <c r="S641" s="18"/>
    </row>
    <row r="642">
      <c r="E642" s="18"/>
      <c r="F642" s="18"/>
      <c r="G642" s="263"/>
      <c r="M642" s="263"/>
      <c r="R642" s="18"/>
      <c r="S642" s="18"/>
    </row>
    <row r="643">
      <c r="E643" s="18"/>
      <c r="F643" s="18"/>
      <c r="G643" s="263"/>
      <c r="M643" s="263"/>
      <c r="R643" s="18"/>
      <c r="S643" s="18"/>
    </row>
    <row r="644">
      <c r="E644" s="18"/>
      <c r="F644" s="18"/>
      <c r="G644" s="263"/>
      <c r="M644" s="263"/>
      <c r="R644" s="18"/>
      <c r="S644" s="18"/>
    </row>
    <row r="645">
      <c r="E645" s="18"/>
      <c r="F645" s="18"/>
      <c r="G645" s="263"/>
      <c r="M645" s="263"/>
      <c r="R645" s="18"/>
      <c r="S645" s="18"/>
    </row>
    <row r="646">
      <c r="E646" s="18"/>
      <c r="F646" s="18"/>
      <c r="G646" s="263"/>
      <c r="M646" s="263"/>
      <c r="R646" s="18"/>
      <c r="S646" s="18"/>
    </row>
    <row r="647">
      <c r="E647" s="18"/>
      <c r="F647" s="18"/>
      <c r="G647" s="263"/>
      <c r="M647" s="263"/>
      <c r="R647" s="18"/>
      <c r="S647" s="18"/>
    </row>
    <row r="648">
      <c r="E648" s="18"/>
      <c r="F648" s="18"/>
      <c r="G648" s="263"/>
      <c r="M648" s="263"/>
      <c r="R648" s="18"/>
      <c r="S648" s="18"/>
    </row>
    <row r="649">
      <c r="E649" s="18"/>
      <c r="F649" s="18"/>
      <c r="G649" s="263"/>
      <c r="M649" s="263"/>
      <c r="R649" s="18"/>
      <c r="S649" s="18"/>
    </row>
    <row r="650">
      <c r="E650" s="18"/>
      <c r="F650" s="18"/>
      <c r="G650" s="263"/>
      <c r="M650" s="263"/>
      <c r="R650" s="18"/>
      <c r="S650" s="18"/>
    </row>
    <row r="651">
      <c r="E651" s="18"/>
      <c r="F651" s="18"/>
      <c r="G651" s="263"/>
      <c r="M651" s="263"/>
      <c r="R651" s="18"/>
      <c r="S651" s="18"/>
    </row>
    <row r="652">
      <c r="E652" s="18"/>
      <c r="F652" s="18"/>
      <c r="G652" s="263"/>
      <c r="M652" s="263"/>
      <c r="R652" s="18"/>
      <c r="S652" s="18"/>
    </row>
    <row r="653">
      <c r="E653" s="18"/>
      <c r="F653" s="18"/>
      <c r="G653" s="263"/>
      <c r="M653" s="263"/>
      <c r="R653" s="18"/>
      <c r="S653" s="18"/>
    </row>
    <row r="654">
      <c r="E654" s="18"/>
      <c r="F654" s="18"/>
      <c r="G654" s="263"/>
      <c r="M654" s="263"/>
      <c r="R654" s="18"/>
      <c r="S654" s="18"/>
    </row>
    <row r="655">
      <c r="E655" s="18"/>
      <c r="F655" s="18"/>
      <c r="G655" s="263"/>
      <c r="M655" s="263"/>
      <c r="R655" s="18"/>
      <c r="S655" s="18"/>
    </row>
    <row r="656">
      <c r="E656" s="18"/>
      <c r="F656" s="18"/>
      <c r="G656" s="263"/>
      <c r="M656" s="263"/>
      <c r="R656" s="18"/>
      <c r="S656" s="18"/>
    </row>
    <row r="657">
      <c r="E657" s="18"/>
      <c r="F657" s="18"/>
      <c r="G657" s="263"/>
      <c r="M657" s="263"/>
      <c r="R657" s="18"/>
      <c r="S657" s="18"/>
    </row>
    <row r="658">
      <c r="E658" s="18"/>
      <c r="F658" s="18"/>
      <c r="G658" s="263"/>
      <c r="M658" s="263"/>
      <c r="R658" s="18"/>
      <c r="S658" s="18"/>
    </row>
    <row r="659">
      <c r="E659" s="18"/>
      <c r="F659" s="18"/>
      <c r="G659" s="263"/>
      <c r="M659" s="263"/>
      <c r="R659" s="18"/>
      <c r="S659" s="18"/>
    </row>
    <row r="660">
      <c r="E660" s="18"/>
      <c r="F660" s="18"/>
      <c r="G660" s="263"/>
      <c r="M660" s="263"/>
      <c r="R660" s="18"/>
      <c r="S660" s="18"/>
    </row>
    <row r="661">
      <c r="E661" s="18"/>
      <c r="F661" s="18"/>
      <c r="G661" s="263"/>
      <c r="M661" s="263"/>
      <c r="R661" s="18"/>
      <c r="S661" s="18"/>
    </row>
    <row r="662">
      <c r="E662" s="18"/>
      <c r="F662" s="18"/>
      <c r="G662" s="263"/>
      <c r="M662" s="263"/>
      <c r="R662" s="18"/>
      <c r="S662" s="18"/>
    </row>
    <row r="663">
      <c r="E663" s="18"/>
      <c r="F663" s="18"/>
      <c r="G663" s="263"/>
      <c r="M663" s="263"/>
      <c r="R663" s="18"/>
      <c r="S663" s="18"/>
    </row>
    <row r="664">
      <c r="E664" s="18"/>
      <c r="F664" s="18"/>
      <c r="G664" s="263"/>
      <c r="M664" s="263"/>
      <c r="R664" s="18"/>
      <c r="S664" s="18"/>
    </row>
    <row r="665">
      <c r="E665" s="18"/>
      <c r="F665" s="18"/>
      <c r="G665" s="263"/>
      <c r="M665" s="263"/>
      <c r="R665" s="18"/>
      <c r="S665" s="18"/>
    </row>
    <row r="666">
      <c r="E666" s="18"/>
      <c r="F666" s="18"/>
      <c r="G666" s="263"/>
      <c r="M666" s="263"/>
      <c r="R666" s="18"/>
      <c r="S666" s="18"/>
    </row>
    <row r="667">
      <c r="E667" s="18"/>
      <c r="F667" s="18"/>
      <c r="G667" s="263"/>
      <c r="M667" s="263"/>
      <c r="R667" s="18"/>
      <c r="S667" s="18"/>
    </row>
    <row r="668">
      <c r="E668" s="18"/>
      <c r="F668" s="18"/>
      <c r="G668" s="263"/>
      <c r="M668" s="263"/>
      <c r="R668" s="18"/>
      <c r="S668" s="18"/>
    </row>
    <row r="669">
      <c r="E669" s="18"/>
      <c r="F669" s="18"/>
      <c r="G669" s="263"/>
      <c r="M669" s="263"/>
      <c r="R669" s="18"/>
      <c r="S669" s="18"/>
    </row>
    <row r="670">
      <c r="E670" s="18"/>
      <c r="F670" s="18"/>
      <c r="G670" s="263"/>
      <c r="M670" s="263"/>
      <c r="R670" s="18"/>
      <c r="S670" s="18"/>
    </row>
    <row r="671">
      <c r="E671" s="18"/>
      <c r="F671" s="18"/>
      <c r="G671" s="263"/>
      <c r="M671" s="263"/>
      <c r="R671" s="18"/>
      <c r="S671" s="18"/>
    </row>
    <row r="672">
      <c r="E672" s="18"/>
      <c r="F672" s="18"/>
      <c r="G672" s="263"/>
      <c r="M672" s="263"/>
      <c r="R672" s="18"/>
      <c r="S672" s="18"/>
    </row>
    <row r="673">
      <c r="E673" s="18"/>
      <c r="F673" s="18"/>
      <c r="G673" s="263"/>
      <c r="M673" s="263"/>
      <c r="R673" s="18"/>
      <c r="S673" s="18"/>
    </row>
    <row r="674">
      <c r="E674" s="18"/>
      <c r="F674" s="18"/>
      <c r="G674" s="263"/>
      <c r="M674" s="263"/>
      <c r="R674" s="18"/>
      <c r="S674" s="18"/>
    </row>
    <row r="675">
      <c r="E675" s="18"/>
      <c r="F675" s="18"/>
      <c r="G675" s="263"/>
      <c r="M675" s="263"/>
      <c r="R675" s="18"/>
      <c r="S675" s="18"/>
    </row>
    <row r="676">
      <c r="E676" s="18"/>
      <c r="F676" s="18"/>
      <c r="G676" s="263"/>
      <c r="M676" s="263"/>
      <c r="R676" s="18"/>
      <c r="S676" s="18"/>
    </row>
    <row r="677">
      <c r="E677" s="18"/>
      <c r="F677" s="18"/>
      <c r="G677" s="263"/>
      <c r="M677" s="263"/>
      <c r="R677" s="18"/>
      <c r="S677" s="18"/>
    </row>
    <row r="678">
      <c r="E678" s="18"/>
      <c r="F678" s="18"/>
      <c r="G678" s="263"/>
      <c r="M678" s="263"/>
      <c r="R678" s="18"/>
      <c r="S678" s="18"/>
    </row>
    <row r="679">
      <c r="E679" s="18"/>
      <c r="F679" s="18"/>
      <c r="G679" s="263"/>
      <c r="M679" s="263"/>
      <c r="R679" s="18"/>
      <c r="S679" s="18"/>
    </row>
    <row r="680">
      <c r="E680" s="18"/>
      <c r="F680" s="18"/>
      <c r="G680" s="263"/>
      <c r="M680" s="263"/>
      <c r="R680" s="18"/>
      <c r="S680" s="18"/>
    </row>
    <row r="681">
      <c r="E681" s="18"/>
      <c r="F681" s="18"/>
      <c r="G681" s="263"/>
      <c r="M681" s="263"/>
      <c r="R681" s="18"/>
      <c r="S681" s="18"/>
    </row>
    <row r="682">
      <c r="E682" s="18"/>
      <c r="F682" s="18"/>
      <c r="G682" s="263"/>
      <c r="M682" s="263"/>
      <c r="R682" s="18"/>
      <c r="S682" s="18"/>
    </row>
    <row r="683">
      <c r="E683" s="18"/>
      <c r="F683" s="18"/>
      <c r="G683" s="263"/>
      <c r="M683" s="263"/>
      <c r="R683" s="18"/>
      <c r="S683" s="18"/>
    </row>
    <row r="684">
      <c r="E684" s="18"/>
      <c r="F684" s="18"/>
      <c r="G684" s="263"/>
      <c r="M684" s="263"/>
      <c r="R684" s="18"/>
      <c r="S684" s="18"/>
    </row>
    <row r="685">
      <c r="E685" s="18"/>
      <c r="F685" s="18"/>
      <c r="G685" s="263"/>
      <c r="M685" s="263"/>
      <c r="R685" s="18"/>
      <c r="S685" s="18"/>
    </row>
    <row r="686">
      <c r="E686" s="18"/>
      <c r="F686" s="18"/>
      <c r="G686" s="263"/>
      <c r="M686" s="263"/>
      <c r="R686" s="18"/>
      <c r="S686" s="18"/>
    </row>
    <row r="687">
      <c r="E687" s="18"/>
      <c r="F687" s="18"/>
      <c r="G687" s="263"/>
      <c r="M687" s="263"/>
      <c r="R687" s="18"/>
      <c r="S687" s="18"/>
    </row>
    <row r="688">
      <c r="E688" s="18"/>
      <c r="F688" s="18"/>
      <c r="G688" s="263"/>
      <c r="M688" s="263"/>
      <c r="R688" s="18"/>
      <c r="S688" s="18"/>
    </row>
    <row r="689">
      <c r="E689" s="18"/>
      <c r="F689" s="18"/>
      <c r="G689" s="263"/>
      <c r="M689" s="263"/>
      <c r="R689" s="18"/>
      <c r="S689" s="18"/>
    </row>
    <row r="690">
      <c r="E690" s="18"/>
      <c r="F690" s="18"/>
      <c r="G690" s="263"/>
      <c r="M690" s="263"/>
      <c r="R690" s="18"/>
      <c r="S690" s="18"/>
    </row>
    <row r="691">
      <c r="E691" s="18"/>
      <c r="F691" s="18"/>
      <c r="G691" s="263"/>
      <c r="M691" s="263"/>
      <c r="R691" s="18"/>
      <c r="S691" s="18"/>
    </row>
    <row r="692">
      <c r="E692" s="18"/>
      <c r="F692" s="18"/>
      <c r="G692" s="263"/>
      <c r="M692" s="263"/>
      <c r="R692" s="18"/>
      <c r="S692" s="18"/>
    </row>
    <row r="693">
      <c r="E693" s="18"/>
      <c r="F693" s="18"/>
      <c r="G693" s="263"/>
      <c r="M693" s="263"/>
      <c r="R693" s="18"/>
      <c r="S693" s="18"/>
    </row>
    <row r="694">
      <c r="E694" s="18"/>
      <c r="F694" s="18"/>
      <c r="G694" s="263"/>
      <c r="M694" s="263"/>
      <c r="R694" s="18"/>
      <c r="S694" s="18"/>
    </row>
    <row r="695">
      <c r="E695" s="18"/>
      <c r="F695" s="18"/>
      <c r="G695" s="263"/>
      <c r="M695" s="263"/>
      <c r="R695" s="18"/>
      <c r="S695" s="18"/>
    </row>
    <row r="696">
      <c r="E696" s="18"/>
      <c r="F696" s="18"/>
      <c r="G696" s="263"/>
      <c r="M696" s="263"/>
      <c r="R696" s="18"/>
      <c r="S696" s="18"/>
    </row>
    <row r="697">
      <c r="E697" s="18"/>
      <c r="F697" s="18"/>
      <c r="G697" s="263"/>
      <c r="M697" s="263"/>
      <c r="R697" s="18"/>
      <c r="S697" s="18"/>
    </row>
    <row r="698">
      <c r="E698" s="18"/>
      <c r="F698" s="18"/>
      <c r="G698" s="263"/>
      <c r="M698" s="263"/>
      <c r="R698" s="18"/>
      <c r="S698" s="18"/>
    </row>
    <row r="699">
      <c r="E699" s="18"/>
      <c r="F699" s="18"/>
      <c r="G699" s="263"/>
      <c r="M699" s="263"/>
      <c r="R699" s="18"/>
      <c r="S699" s="18"/>
    </row>
    <row r="700">
      <c r="E700" s="18"/>
      <c r="F700" s="18"/>
      <c r="G700" s="263"/>
      <c r="M700" s="263"/>
      <c r="R700" s="18"/>
      <c r="S700" s="18"/>
    </row>
    <row r="701">
      <c r="E701" s="18"/>
      <c r="F701" s="18"/>
      <c r="G701" s="263"/>
      <c r="M701" s="263"/>
      <c r="R701" s="18"/>
      <c r="S701" s="18"/>
    </row>
    <row r="702">
      <c r="E702" s="18"/>
      <c r="F702" s="18"/>
      <c r="G702" s="263"/>
      <c r="M702" s="263"/>
      <c r="R702" s="18"/>
      <c r="S702" s="18"/>
    </row>
    <row r="703">
      <c r="E703" s="18"/>
      <c r="F703" s="18"/>
      <c r="G703" s="263"/>
      <c r="M703" s="263"/>
      <c r="R703" s="18"/>
      <c r="S703" s="18"/>
    </row>
    <row r="704">
      <c r="E704" s="18"/>
      <c r="F704" s="18"/>
      <c r="G704" s="263"/>
      <c r="M704" s="263"/>
      <c r="R704" s="18"/>
      <c r="S704" s="18"/>
    </row>
    <row r="705">
      <c r="E705" s="18"/>
      <c r="F705" s="18"/>
      <c r="G705" s="263"/>
      <c r="M705" s="263"/>
      <c r="R705" s="18"/>
      <c r="S705" s="18"/>
    </row>
    <row r="706">
      <c r="E706" s="18"/>
      <c r="F706" s="18"/>
      <c r="G706" s="263"/>
      <c r="M706" s="263"/>
      <c r="R706" s="18"/>
      <c r="S706" s="18"/>
    </row>
    <row r="707">
      <c r="E707" s="18"/>
      <c r="F707" s="18"/>
      <c r="G707" s="263"/>
      <c r="M707" s="263"/>
      <c r="R707" s="18"/>
      <c r="S707" s="18"/>
    </row>
    <row r="708">
      <c r="E708" s="18"/>
      <c r="F708" s="18"/>
      <c r="G708" s="263"/>
      <c r="M708" s="263"/>
      <c r="R708" s="18"/>
      <c r="S708" s="18"/>
    </row>
    <row r="709">
      <c r="E709" s="18"/>
      <c r="F709" s="18"/>
      <c r="G709" s="263"/>
      <c r="M709" s="263"/>
      <c r="R709" s="18"/>
      <c r="S709" s="18"/>
    </row>
    <row r="710">
      <c r="E710" s="18"/>
      <c r="F710" s="18"/>
      <c r="G710" s="263"/>
      <c r="M710" s="263"/>
      <c r="R710" s="18"/>
      <c r="S710" s="18"/>
    </row>
    <row r="711">
      <c r="E711" s="18"/>
      <c r="F711" s="18"/>
      <c r="G711" s="263"/>
      <c r="M711" s="263"/>
      <c r="R711" s="18"/>
      <c r="S711" s="18"/>
    </row>
    <row r="712">
      <c r="E712" s="18"/>
      <c r="F712" s="18"/>
      <c r="G712" s="263"/>
      <c r="M712" s="263"/>
      <c r="R712" s="18"/>
      <c r="S712" s="18"/>
    </row>
    <row r="713">
      <c r="E713" s="18"/>
      <c r="F713" s="18"/>
      <c r="G713" s="263"/>
      <c r="M713" s="263"/>
      <c r="R713" s="18"/>
      <c r="S713" s="18"/>
    </row>
    <row r="714">
      <c r="E714" s="18"/>
      <c r="F714" s="18"/>
      <c r="G714" s="263"/>
      <c r="M714" s="263"/>
      <c r="R714" s="18"/>
      <c r="S714" s="18"/>
    </row>
    <row r="715">
      <c r="E715" s="18"/>
      <c r="F715" s="18"/>
      <c r="G715" s="263"/>
      <c r="M715" s="263"/>
      <c r="R715" s="18"/>
      <c r="S715" s="18"/>
    </row>
    <row r="716">
      <c r="E716" s="18"/>
      <c r="F716" s="18"/>
      <c r="G716" s="263"/>
      <c r="M716" s="263"/>
      <c r="R716" s="18"/>
      <c r="S716" s="18"/>
    </row>
    <row r="717">
      <c r="E717" s="18"/>
      <c r="F717" s="18"/>
      <c r="G717" s="263"/>
      <c r="M717" s="263"/>
      <c r="R717" s="18"/>
      <c r="S717" s="18"/>
    </row>
    <row r="718">
      <c r="E718" s="18"/>
      <c r="F718" s="18"/>
      <c r="G718" s="263"/>
      <c r="M718" s="263"/>
      <c r="R718" s="18"/>
      <c r="S718" s="18"/>
    </row>
    <row r="719">
      <c r="E719" s="18"/>
      <c r="F719" s="18"/>
      <c r="G719" s="263"/>
      <c r="M719" s="263"/>
      <c r="R719" s="18"/>
      <c r="S719" s="18"/>
    </row>
    <row r="720">
      <c r="E720" s="18"/>
      <c r="F720" s="18"/>
      <c r="G720" s="263"/>
      <c r="M720" s="263"/>
      <c r="R720" s="18"/>
      <c r="S720" s="18"/>
    </row>
    <row r="721">
      <c r="E721" s="18"/>
      <c r="F721" s="18"/>
      <c r="G721" s="263"/>
      <c r="M721" s="263"/>
      <c r="R721" s="18"/>
      <c r="S721" s="18"/>
    </row>
    <row r="722">
      <c r="E722" s="18"/>
      <c r="F722" s="18"/>
      <c r="G722" s="263"/>
      <c r="M722" s="263"/>
      <c r="R722" s="18"/>
      <c r="S722" s="18"/>
    </row>
    <row r="723">
      <c r="E723" s="18"/>
      <c r="F723" s="18"/>
      <c r="G723" s="263"/>
      <c r="M723" s="263"/>
      <c r="R723" s="18"/>
      <c r="S723" s="18"/>
    </row>
    <row r="724">
      <c r="E724" s="18"/>
      <c r="F724" s="18"/>
      <c r="G724" s="263"/>
      <c r="M724" s="263"/>
      <c r="R724" s="18"/>
      <c r="S724" s="18"/>
    </row>
    <row r="725">
      <c r="E725" s="18"/>
      <c r="F725" s="18"/>
      <c r="G725" s="263"/>
      <c r="M725" s="263"/>
      <c r="R725" s="18"/>
      <c r="S725" s="18"/>
    </row>
    <row r="726">
      <c r="E726" s="18"/>
      <c r="F726" s="18"/>
      <c r="G726" s="263"/>
      <c r="M726" s="263"/>
      <c r="R726" s="18"/>
      <c r="S726" s="18"/>
    </row>
    <row r="727">
      <c r="E727" s="18"/>
      <c r="F727" s="18"/>
      <c r="G727" s="263"/>
      <c r="M727" s="263"/>
      <c r="R727" s="18"/>
      <c r="S727" s="18"/>
    </row>
    <row r="728">
      <c r="E728" s="18"/>
      <c r="F728" s="18"/>
      <c r="G728" s="263"/>
      <c r="M728" s="263"/>
      <c r="R728" s="18"/>
      <c r="S728" s="18"/>
    </row>
    <row r="729">
      <c r="E729" s="18"/>
      <c r="F729" s="18"/>
      <c r="G729" s="263"/>
      <c r="M729" s="263"/>
      <c r="R729" s="18"/>
      <c r="S729" s="18"/>
    </row>
    <row r="730">
      <c r="E730" s="18"/>
      <c r="F730" s="18"/>
      <c r="G730" s="263"/>
      <c r="M730" s="263"/>
      <c r="R730" s="18"/>
      <c r="S730" s="18"/>
    </row>
    <row r="731">
      <c r="E731" s="18"/>
      <c r="F731" s="18"/>
      <c r="G731" s="263"/>
      <c r="M731" s="263"/>
      <c r="R731" s="18"/>
      <c r="S731" s="18"/>
    </row>
    <row r="732">
      <c r="E732" s="18"/>
      <c r="F732" s="18"/>
      <c r="G732" s="263"/>
      <c r="M732" s="263"/>
      <c r="R732" s="18"/>
      <c r="S732" s="18"/>
    </row>
    <row r="733">
      <c r="E733" s="18"/>
      <c r="F733" s="18"/>
      <c r="G733" s="263"/>
      <c r="M733" s="263"/>
      <c r="R733" s="18"/>
      <c r="S733" s="18"/>
    </row>
    <row r="734">
      <c r="E734" s="18"/>
      <c r="F734" s="18"/>
      <c r="G734" s="263"/>
      <c r="M734" s="263"/>
      <c r="R734" s="18"/>
      <c r="S734" s="18"/>
    </row>
    <row r="735">
      <c r="E735" s="18"/>
      <c r="F735" s="18"/>
      <c r="G735" s="263"/>
      <c r="M735" s="263"/>
      <c r="R735" s="18"/>
      <c r="S735" s="18"/>
    </row>
    <row r="736">
      <c r="E736" s="18"/>
      <c r="F736" s="18"/>
      <c r="G736" s="263"/>
      <c r="M736" s="263"/>
      <c r="R736" s="18"/>
      <c r="S736" s="18"/>
    </row>
    <row r="737">
      <c r="E737" s="18"/>
      <c r="F737" s="18"/>
      <c r="G737" s="263"/>
      <c r="M737" s="263"/>
      <c r="R737" s="18"/>
      <c r="S737" s="18"/>
    </row>
    <row r="738">
      <c r="E738" s="18"/>
      <c r="F738" s="18"/>
      <c r="G738" s="263"/>
      <c r="M738" s="263"/>
      <c r="R738" s="18"/>
      <c r="S738" s="18"/>
    </row>
    <row r="739">
      <c r="E739" s="18"/>
      <c r="F739" s="18"/>
      <c r="G739" s="263"/>
      <c r="M739" s="263"/>
      <c r="R739" s="18"/>
      <c r="S739" s="18"/>
    </row>
    <row r="740">
      <c r="E740" s="18"/>
      <c r="F740" s="18"/>
      <c r="G740" s="263"/>
      <c r="M740" s="263"/>
      <c r="R740" s="18"/>
      <c r="S740" s="18"/>
    </row>
    <row r="741">
      <c r="E741" s="18"/>
      <c r="F741" s="18"/>
      <c r="G741" s="263"/>
      <c r="M741" s="263"/>
      <c r="R741" s="18"/>
      <c r="S741" s="18"/>
    </row>
    <row r="742">
      <c r="E742" s="18"/>
      <c r="F742" s="18"/>
      <c r="G742" s="263"/>
      <c r="M742" s="263"/>
      <c r="R742" s="18"/>
      <c r="S742" s="18"/>
    </row>
    <row r="743">
      <c r="E743" s="18"/>
      <c r="F743" s="18"/>
      <c r="G743" s="263"/>
      <c r="M743" s="263"/>
      <c r="R743" s="18"/>
      <c r="S743" s="18"/>
    </row>
    <row r="744">
      <c r="E744" s="18"/>
      <c r="F744" s="18"/>
      <c r="G744" s="263"/>
      <c r="M744" s="263"/>
      <c r="R744" s="18"/>
      <c r="S744" s="18"/>
    </row>
    <row r="745">
      <c r="E745" s="18"/>
      <c r="F745" s="18"/>
      <c r="G745" s="263"/>
      <c r="M745" s="263"/>
      <c r="R745" s="18"/>
      <c r="S745" s="18"/>
    </row>
    <row r="746">
      <c r="E746" s="18"/>
      <c r="F746" s="18"/>
      <c r="G746" s="263"/>
      <c r="M746" s="263"/>
      <c r="R746" s="18"/>
      <c r="S746" s="18"/>
    </row>
    <row r="747">
      <c r="E747" s="18"/>
      <c r="F747" s="18"/>
      <c r="G747" s="263"/>
      <c r="M747" s="263"/>
      <c r="R747" s="18"/>
      <c r="S747" s="18"/>
    </row>
    <row r="748">
      <c r="E748" s="18"/>
      <c r="F748" s="18"/>
      <c r="G748" s="263"/>
      <c r="M748" s="263"/>
      <c r="R748" s="18"/>
      <c r="S748" s="18"/>
    </row>
    <row r="749">
      <c r="E749" s="18"/>
      <c r="F749" s="18"/>
      <c r="G749" s="263"/>
      <c r="M749" s="263"/>
      <c r="R749" s="18"/>
      <c r="S749" s="18"/>
    </row>
    <row r="750">
      <c r="E750" s="18"/>
      <c r="F750" s="18"/>
      <c r="G750" s="263"/>
      <c r="M750" s="263"/>
      <c r="R750" s="18"/>
      <c r="S750" s="18"/>
    </row>
    <row r="751">
      <c r="E751" s="18"/>
      <c r="F751" s="18"/>
      <c r="G751" s="263"/>
      <c r="M751" s="263"/>
      <c r="R751" s="18"/>
      <c r="S751" s="18"/>
    </row>
    <row r="752">
      <c r="E752" s="18"/>
      <c r="F752" s="18"/>
      <c r="G752" s="263"/>
      <c r="M752" s="263"/>
      <c r="R752" s="18"/>
      <c r="S752" s="18"/>
    </row>
    <row r="753">
      <c r="E753" s="18"/>
      <c r="F753" s="18"/>
      <c r="G753" s="263"/>
      <c r="M753" s="263"/>
      <c r="R753" s="18"/>
      <c r="S753" s="18"/>
    </row>
    <row r="754">
      <c r="E754" s="18"/>
      <c r="F754" s="18"/>
      <c r="G754" s="263"/>
      <c r="M754" s="263"/>
      <c r="R754" s="18"/>
      <c r="S754" s="18"/>
    </row>
    <row r="755">
      <c r="E755" s="18"/>
      <c r="F755" s="18"/>
      <c r="G755" s="263"/>
      <c r="M755" s="263"/>
      <c r="R755" s="18"/>
      <c r="S755" s="18"/>
    </row>
    <row r="756">
      <c r="E756" s="18"/>
      <c r="F756" s="18"/>
      <c r="G756" s="263"/>
      <c r="M756" s="263"/>
      <c r="R756" s="18"/>
      <c r="S756" s="18"/>
    </row>
    <row r="757">
      <c r="E757" s="18"/>
      <c r="F757" s="18"/>
      <c r="G757" s="263"/>
      <c r="M757" s="263"/>
      <c r="R757" s="18"/>
      <c r="S757" s="18"/>
    </row>
    <row r="758">
      <c r="E758" s="18"/>
      <c r="F758" s="18"/>
      <c r="G758" s="263"/>
      <c r="M758" s="263"/>
      <c r="R758" s="18"/>
      <c r="S758" s="18"/>
    </row>
    <row r="759">
      <c r="E759" s="18"/>
      <c r="F759" s="18"/>
      <c r="G759" s="263"/>
      <c r="M759" s="263"/>
      <c r="R759" s="18"/>
      <c r="S759" s="18"/>
    </row>
    <row r="760">
      <c r="E760" s="18"/>
      <c r="F760" s="18"/>
      <c r="G760" s="263"/>
      <c r="M760" s="263"/>
      <c r="R760" s="18"/>
      <c r="S760" s="18"/>
    </row>
    <row r="761">
      <c r="E761" s="18"/>
      <c r="F761" s="18"/>
      <c r="G761" s="263"/>
      <c r="M761" s="263"/>
      <c r="R761" s="18"/>
      <c r="S761" s="18"/>
    </row>
    <row r="762">
      <c r="E762" s="18"/>
      <c r="F762" s="18"/>
      <c r="G762" s="263"/>
      <c r="M762" s="263"/>
      <c r="R762" s="18"/>
      <c r="S762" s="18"/>
    </row>
    <row r="763">
      <c r="E763" s="18"/>
      <c r="F763" s="18"/>
      <c r="G763" s="263"/>
      <c r="M763" s="263"/>
      <c r="R763" s="18"/>
      <c r="S763" s="18"/>
    </row>
    <row r="764">
      <c r="E764" s="18"/>
      <c r="F764" s="18"/>
      <c r="G764" s="263"/>
      <c r="M764" s="263"/>
      <c r="R764" s="18"/>
      <c r="S764" s="18"/>
    </row>
    <row r="765">
      <c r="E765" s="18"/>
      <c r="F765" s="18"/>
      <c r="G765" s="263"/>
      <c r="M765" s="263"/>
      <c r="R765" s="18"/>
      <c r="S765" s="18"/>
    </row>
    <row r="766">
      <c r="E766" s="18"/>
      <c r="F766" s="18"/>
      <c r="G766" s="263"/>
      <c r="M766" s="263"/>
      <c r="R766" s="18"/>
      <c r="S766" s="18"/>
    </row>
    <row r="767">
      <c r="E767" s="18"/>
      <c r="F767" s="18"/>
      <c r="G767" s="263"/>
      <c r="M767" s="263"/>
      <c r="R767" s="18"/>
      <c r="S767" s="18"/>
    </row>
    <row r="768">
      <c r="E768" s="18"/>
      <c r="F768" s="18"/>
      <c r="G768" s="263"/>
      <c r="M768" s="263"/>
      <c r="R768" s="18"/>
      <c r="S768" s="18"/>
    </row>
    <row r="769">
      <c r="E769" s="18"/>
      <c r="F769" s="18"/>
      <c r="G769" s="263"/>
      <c r="M769" s="263"/>
      <c r="R769" s="18"/>
      <c r="S769" s="18"/>
    </row>
    <row r="770">
      <c r="E770" s="18"/>
      <c r="F770" s="18"/>
      <c r="G770" s="263"/>
      <c r="M770" s="263"/>
      <c r="R770" s="18"/>
      <c r="S770" s="18"/>
    </row>
    <row r="771">
      <c r="E771" s="18"/>
      <c r="F771" s="18"/>
      <c r="G771" s="263"/>
      <c r="M771" s="263"/>
      <c r="R771" s="18"/>
      <c r="S771" s="18"/>
    </row>
    <row r="772">
      <c r="E772" s="18"/>
      <c r="F772" s="18"/>
      <c r="G772" s="263"/>
      <c r="M772" s="263"/>
      <c r="R772" s="18"/>
      <c r="S772" s="18"/>
    </row>
    <row r="773">
      <c r="E773" s="18"/>
      <c r="F773" s="18"/>
      <c r="G773" s="263"/>
      <c r="M773" s="263"/>
      <c r="R773" s="18"/>
      <c r="S773" s="18"/>
    </row>
    <row r="774">
      <c r="E774" s="18"/>
      <c r="F774" s="18"/>
      <c r="G774" s="263"/>
      <c r="M774" s="263"/>
      <c r="R774" s="18"/>
      <c r="S774" s="18"/>
    </row>
    <row r="775">
      <c r="E775" s="18"/>
      <c r="F775" s="18"/>
      <c r="G775" s="263"/>
      <c r="M775" s="263"/>
      <c r="R775" s="18"/>
      <c r="S775" s="18"/>
    </row>
    <row r="776">
      <c r="E776" s="18"/>
      <c r="F776" s="18"/>
      <c r="G776" s="263"/>
      <c r="M776" s="263"/>
      <c r="R776" s="18"/>
      <c r="S776" s="18"/>
    </row>
    <row r="777">
      <c r="E777" s="18"/>
      <c r="F777" s="18"/>
      <c r="G777" s="263"/>
      <c r="M777" s="263"/>
      <c r="R777" s="18"/>
      <c r="S777" s="18"/>
    </row>
    <row r="778">
      <c r="E778" s="18"/>
      <c r="F778" s="18"/>
      <c r="G778" s="263"/>
      <c r="M778" s="263"/>
      <c r="R778" s="18"/>
      <c r="S778" s="18"/>
    </row>
    <row r="779">
      <c r="E779" s="18"/>
      <c r="F779" s="18"/>
      <c r="G779" s="263"/>
      <c r="M779" s="263"/>
      <c r="R779" s="18"/>
      <c r="S779" s="18"/>
    </row>
    <row r="780">
      <c r="E780" s="18"/>
      <c r="F780" s="18"/>
      <c r="G780" s="263"/>
      <c r="M780" s="263"/>
      <c r="R780" s="18"/>
      <c r="S780" s="18"/>
    </row>
    <row r="781">
      <c r="E781" s="18"/>
      <c r="F781" s="18"/>
      <c r="G781" s="263"/>
      <c r="M781" s="263"/>
      <c r="R781" s="18"/>
      <c r="S781" s="18"/>
    </row>
    <row r="782">
      <c r="E782" s="18"/>
      <c r="F782" s="18"/>
      <c r="G782" s="263"/>
      <c r="M782" s="263"/>
      <c r="R782" s="18"/>
      <c r="S782" s="18"/>
    </row>
    <row r="783">
      <c r="E783" s="18"/>
      <c r="F783" s="18"/>
      <c r="G783" s="263"/>
      <c r="M783" s="263"/>
      <c r="R783" s="18"/>
      <c r="S783" s="18"/>
    </row>
    <row r="784">
      <c r="E784" s="18"/>
      <c r="F784" s="18"/>
      <c r="G784" s="263"/>
      <c r="M784" s="263"/>
      <c r="R784" s="18"/>
      <c r="S784" s="18"/>
    </row>
    <row r="785">
      <c r="E785" s="18"/>
      <c r="F785" s="18"/>
      <c r="G785" s="263"/>
      <c r="M785" s="263"/>
      <c r="R785" s="18"/>
      <c r="S785" s="18"/>
    </row>
    <row r="786">
      <c r="E786" s="18"/>
      <c r="F786" s="18"/>
      <c r="G786" s="263"/>
      <c r="M786" s="263"/>
      <c r="R786" s="18"/>
      <c r="S786" s="18"/>
    </row>
    <row r="787">
      <c r="E787" s="18"/>
      <c r="F787" s="18"/>
      <c r="G787" s="263"/>
      <c r="M787" s="263"/>
      <c r="R787" s="18"/>
      <c r="S787" s="18"/>
    </row>
    <row r="788">
      <c r="E788" s="18"/>
      <c r="F788" s="18"/>
      <c r="G788" s="263"/>
      <c r="M788" s="263"/>
      <c r="R788" s="18"/>
      <c r="S788" s="18"/>
    </row>
    <row r="789">
      <c r="E789" s="18"/>
      <c r="F789" s="18"/>
      <c r="G789" s="263"/>
      <c r="M789" s="263"/>
      <c r="R789" s="18"/>
      <c r="S789" s="18"/>
    </row>
    <row r="790">
      <c r="E790" s="18"/>
      <c r="F790" s="18"/>
      <c r="G790" s="263"/>
      <c r="M790" s="263"/>
      <c r="R790" s="18"/>
      <c r="S790" s="18"/>
    </row>
    <row r="791">
      <c r="E791" s="18"/>
      <c r="F791" s="18"/>
      <c r="G791" s="263"/>
      <c r="M791" s="263"/>
      <c r="R791" s="18"/>
      <c r="S791" s="18"/>
    </row>
    <row r="792">
      <c r="E792" s="18"/>
      <c r="F792" s="18"/>
      <c r="G792" s="263"/>
      <c r="M792" s="263"/>
      <c r="R792" s="18"/>
      <c r="S792" s="18"/>
    </row>
    <row r="793">
      <c r="E793" s="18"/>
      <c r="F793" s="18"/>
      <c r="G793" s="263"/>
      <c r="M793" s="263"/>
      <c r="R793" s="18"/>
      <c r="S793" s="18"/>
    </row>
    <row r="794">
      <c r="E794" s="18"/>
      <c r="F794" s="18"/>
      <c r="G794" s="263"/>
      <c r="M794" s="263"/>
      <c r="R794" s="18"/>
      <c r="S794" s="18"/>
    </row>
    <row r="795">
      <c r="E795" s="18"/>
      <c r="F795" s="18"/>
      <c r="G795" s="263"/>
      <c r="M795" s="263"/>
      <c r="R795" s="18"/>
      <c r="S795" s="18"/>
    </row>
    <row r="796">
      <c r="E796" s="18"/>
      <c r="F796" s="18"/>
      <c r="G796" s="263"/>
      <c r="M796" s="263"/>
      <c r="R796" s="18"/>
      <c r="S796" s="18"/>
    </row>
    <row r="797">
      <c r="E797" s="18"/>
      <c r="F797" s="18"/>
      <c r="G797" s="263"/>
      <c r="M797" s="263"/>
      <c r="R797" s="18"/>
      <c r="S797" s="18"/>
    </row>
    <row r="798">
      <c r="E798" s="18"/>
      <c r="F798" s="18"/>
      <c r="G798" s="263"/>
      <c r="M798" s="263"/>
      <c r="R798" s="18"/>
      <c r="S798" s="18"/>
    </row>
    <row r="799">
      <c r="E799" s="18"/>
      <c r="F799" s="18"/>
      <c r="G799" s="263"/>
      <c r="M799" s="263"/>
      <c r="R799" s="18"/>
      <c r="S799" s="18"/>
    </row>
    <row r="800">
      <c r="E800" s="18"/>
      <c r="F800" s="18"/>
      <c r="G800" s="263"/>
      <c r="M800" s="263"/>
      <c r="R800" s="18"/>
      <c r="S800" s="18"/>
    </row>
    <row r="801">
      <c r="E801" s="18"/>
      <c r="F801" s="18"/>
      <c r="G801" s="263"/>
      <c r="M801" s="263"/>
      <c r="R801" s="18"/>
      <c r="S801" s="18"/>
    </row>
    <row r="802">
      <c r="E802" s="18"/>
      <c r="F802" s="18"/>
      <c r="G802" s="263"/>
      <c r="M802" s="263"/>
      <c r="R802" s="18"/>
      <c r="S802" s="18"/>
    </row>
    <row r="803">
      <c r="E803" s="18"/>
      <c r="F803" s="18"/>
      <c r="G803" s="263"/>
      <c r="M803" s="263"/>
      <c r="R803" s="18"/>
      <c r="S803" s="18"/>
    </row>
    <row r="804">
      <c r="E804" s="18"/>
      <c r="F804" s="18"/>
      <c r="G804" s="263"/>
      <c r="M804" s="263"/>
      <c r="R804" s="18"/>
      <c r="S804" s="18"/>
    </row>
    <row r="805">
      <c r="E805" s="18"/>
      <c r="F805" s="18"/>
      <c r="G805" s="263"/>
      <c r="M805" s="263"/>
      <c r="R805" s="18"/>
      <c r="S805" s="18"/>
    </row>
    <row r="806">
      <c r="E806" s="18"/>
      <c r="F806" s="18"/>
      <c r="G806" s="263"/>
      <c r="M806" s="263"/>
      <c r="R806" s="18"/>
      <c r="S806" s="18"/>
    </row>
    <row r="807">
      <c r="E807" s="18"/>
      <c r="F807" s="18"/>
      <c r="G807" s="263"/>
      <c r="M807" s="263"/>
      <c r="R807" s="18"/>
      <c r="S807" s="18"/>
    </row>
    <row r="808">
      <c r="E808" s="18"/>
      <c r="F808" s="18"/>
      <c r="G808" s="263"/>
      <c r="M808" s="263"/>
      <c r="R808" s="18"/>
      <c r="S808" s="18"/>
    </row>
    <row r="809">
      <c r="E809" s="18"/>
      <c r="F809" s="18"/>
      <c r="G809" s="263"/>
      <c r="M809" s="263"/>
      <c r="R809" s="18"/>
      <c r="S809" s="18"/>
    </row>
    <row r="810">
      <c r="E810" s="18"/>
      <c r="F810" s="18"/>
      <c r="G810" s="263"/>
      <c r="M810" s="263"/>
      <c r="R810" s="18"/>
      <c r="S810" s="18"/>
    </row>
    <row r="811">
      <c r="E811" s="18"/>
      <c r="F811" s="18"/>
      <c r="G811" s="263"/>
      <c r="M811" s="263"/>
      <c r="R811" s="18"/>
      <c r="S811" s="18"/>
    </row>
    <row r="812">
      <c r="E812" s="18"/>
      <c r="F812" s="18"/>
      <c r="G812" s="263"/>
      <c r="M812" s="263"/>
      <c r="R812" s="18"/>
      <c r="S812" s="18"/>
    </row>
    <row r="813">
      <c r="E813" s="18"/>
      <c r="F813" s="18"/>
      <c r="G813" s="263"/>
      <c r="M813" s="263"/>
      <c r="R813" s="18"/>
      <c r="S813" s="18"/>
    </row>
    <row r="814">
      <c r="E814" s="18"/>
      <c r="F814" s="18"/>
      <c r="G814" s="263"/>
      <c r="M814" s="263"/>
      <c r="R814" s="18"/>
      <c r="S814" s="18"/>
    </row>
    <row r="815">
      <c r="E815" s="18"/>
      <c r="F815" s="18"/>
      <c r="G815" s="263"/>
      <c r="M815" s="263"/>
      <c r="R815" s="18"/>
      <c r="S815" s="18"/>
    </row>
    <row r="816">
      <c r="E816" s="18"/>
      <c r="F816" s="18"/>
      <c r="G816" s="263"/>
      <c r="M816" s="263"/>
      <c r="R816" s="18"/>
      <c r="S816" s="18"/>
    </row>
    <row r="817">
      <c r="E817" s="18"/>
      <c r="F817" s="18"/>
      <c r="G817" s="263"/>
      <c r="M817" s="263"/>
      <c r="R817" s="18"/>
      <c r="S817" s="18"/>
    </row>
    <row r="818">
      <c r="E818" s="18"/>
      <c r="F818" s="18"/>
      <c r="G818" s="263"/>
      <c r="M818" s="263"/>
      <c r="R818" s="18"/>
      <c r="S818" s="18"/>
    </row>
    <row r="819">
      <c r="E819" s="18"/>
      <c r="F819" s="18"/>
      <c r="G819" s="263"/>
      <c r="M819" s="263"/>
      <c r="R819" s="18"/>
      <c r="S819" s="18"/>
    </row>
    <row r="820">
      <c r="E820" s="18"/>
      <c r="F820" s="18"/>
      <c r="G820" s="263"/>
      <c r="M820" s="263"/>
      <c r="R820" s="18"/>
      <c r="S820" s="18"/>
    </row>
    <row r="821">
      <c r="E821" s="18"/>
      <c r="F821" s="18"/>
      <c r="G821" s="263"/>
      <c r="M821" s="263"/>
      <c r="R821" s="18"/>
      <c r="S821" s="18"/>
    </row>
    <row r="822">
      <c r="E822" s="18"/>
      <c r="F822" s="18"/>
      <c r="G822" s="263"/>
      <c r="M822" s="263"/>
      <c r="R822" s="18"/>
      <c r="S822" s="18"/>
    </row>
    <row r="823">
      <c r="E823" s="18"/>
      <c r="F823" s="18"/>
      <c r="G823" s="263"/>
      <c r="M823" s="263"/>
      <c r="R823" s="18"/>
      <c r="S823" s="18"/>
    </row>
    <row r="824">
      <c r="E824" s="18"/>
      <c r="F824" s="18"/>
      <c r="G824" s="263"/>
      <c r="M824" s="263"/>
      <c r="R824" s="18"/>
      <c r="S824" s="18"/>
    </row>
    <row r="825">
      <c r="E825" s="18"/>
      <c r="F825" s="18"/>
      <c r="G825" s="263"/>
      <c r="M825" s="263"/>
      <c r="R825" s="18"/>
      <c r="S825" s="18"/>
    </row>
    <row r="826">
      <c r="E826" s="18"/>
      <c r="F826" s="18"/>
      <c r="G826" s="263"/>
      <c r="M826" s="263"/>
      <c r="R826" s="18"/>
      <c r="S826" s="18"/>
    </row>
    <row r="827">
      <c r="E827" s="18"/>
      <c r="F827" s="18"/>
      <c r="G827" s="263"/>
      <c r="M827" s="263"/>
      <c r="R827" s="18"/>
      <c r="S827" s="18"/>
    </row>
    <row r="828">
      <c r="E828" s="18"/>
      <c r="F828" s="18"/>
      <c r="G828" s="263"/>
      <c r="M828" s="263"/>
      <c r="R828" s="18"/>
      <c r="S828" s="18"/>
    </row>
    <row r="829">
      <c r="E829" s="18"/>
      <c r="F829" s="18"/>
      <c r="G829" s="263"/>
      <c r="M829" s="263"/>
      <c r="R829" s="18"/>
      <c r="S829" s="18"/>
    </row>
    <row r="830">
      <c r="E830" s="18"/>
      <c r="F830" s="18"/>
      <c r="G830" s="263"/>
      <c r="M830" s="263"/>
      <c r="R830" s="18"/>
      <c r="S830" s="18"/>
    </row>
    <row r="831">
      <c r="E831" s="18"/>
      <c r="F831" s="18"/>
      <c r="G831" s="263"/>
      <c r="M831" s="263"/>
      <c r="R831" s="18"/>
      <c r="S831" s="18"/>
    </row>
    <row r="832">
      <c r="E832" s="18"/>
      <c r="F832" s="18"/>
      <c r="G832" s="263"/>
      <c r="M832" s="263"/>
      <c r="R832" s="18"/>
      <c r="S832" s="18"/>
    </row>
    <row r="833">
      <c r="E833" s="18"/>
      <c r="F833" s="18"/>
      <c r="G833" s="263"/>
      <c r="M833" s="263"/>
      <c r="R833" s="18"/>
      <c r="S833" s="18"/>
    </row>
    <row r="834">
      <c r="E834" s="18"/>
      <c r="F834" s="18"/>
      <c r="G834" s="263"/>
      <c r="M834" s="263"/>
      <c r="R834" s="18"/>
      <c r="S834" s="18"/>
    </row>
    <row r="835">
      <c r="E835" s="18"/>
      <c r="F835" s="18"/>
      <c r="G835" s="263"/>
      <c r="M835" s="263"/>
      <c r="R835" s="18"/>
      <c r="S835" s="18"/>
    </row>
    <row r="836">
      <c r="E836" s="18"/>
      <c r="F836" s="18"/>
      <c r="G836" s="263"/>
      <c r="M836" s="263"/>
      <c r="R836" s="18"/>
      <c r="S836" s="18"/>
    </row>
    <row r="837">
      <c r="E837" s="18"/>
      <c r="F837" s="18"/>
      <c r="G837" s="263"/>
      <c r="M837" s="263"/>
      <c r="R837" s="18"/>
      <c r="S837" s="18"/>
    </row>
    <row r="838">
      <c r="E838" s="18"/>
      <c r="F838" s="18"/>
      <c r="G838" s="263"/>
      <c r="M838" s="263"/>
      <c r="R838" s="18"/>
      <c r="S838" s="18"/>
    </row>
    <row r="839">
      <c r="E839" s="18"/>
      <c r="F839" s="18"/>
      <c r="G839" s="263"/>
      <c r="M839" s="263"/>
      <c r="R839" s="18"/>
      <c r="S839" s="18"/>
    </row>
    <row r="840">
      <c r="E840" s="18"/>
      <c r="F840" s="18"/>
      <c r="G840" s="263"/>
      <c r="M840" s="263"/>
      <c r="R840" s="18"/>
      <c r="S840" s="18"/>
    </row>
    <row r="841">
      <c r="E841" s="18"/>
      <c r="F841" s="18"/>
      <c r="G841" s="263"/>
      <c r="M841" s="263"/>
      <c r="R841" s="18"/>
      <c r="S841" s="18"/>
    </row>
    <row r="842">
      <c r="E842" s="18"/>
      <c r="F842" s="18"/>
      <c r="G842" s="263"/>
      <c r="M842" s="263"/>
      <c r="R842" s="18"/>
      <c r="S842" s="18"/>
    </row>
    <row r="843">
      <c r="E843" s="18"/>
      <c r="F843" s="18"/>
      <c r="G843" s="263"/>
      <c r="M843" s="263"/>
      <c r="R843" s="18"/>
      <c r="S843" s="18"/>
    </row>
    <row r="844">
      <c r="E844" s="18"/>
      <c r="F844" s="18"/>
      <c r="G844" s="263"/>
      <c r="M844" s="263"/>
      <c r="R844" s="18"/>
      <c r="S844" s="18"/>
    </row>
    <row r="845">
      <c r="E845" s="18"/>
      <c r="F845" s="18"/>
      <c r="G845" s="263"/>
      <c r="M845" s="263"/>
      <c r="R845" s="18"/>
      <c r="S845" s="18"/>
    </row>
    <row r="846">
      <c r="E846" s="18"/>
      <c r="F846" s="18"/>
      <c r="G846" s="263"/>
      <c r="M846" s="263"/>
      <c r="R846" s="18"/>
      <c r="S846" s="18"/>
    </row>
    <row r="847">
      <c r="E847" s="18"/>
      <c r="F847" s="18"/>
      <c r="G847" s="263"/>
      <c r="M847" s="263"/>
      <c r="R847" s="18"/>
      <c r="S847" s="18"/>
    </row>
    <row r="848">
      <c r="E848" s="18"/>
      <c r="F848" s="18"/>
      <c r="G848" s="263"/>
      <c r="M848" s="263"/>
      <c r="R848" s="18"/>
      <c r="S848" s="18"/>
    </row>
    <row r="849">
      <c r="E849" s="18"/>
      <c r="F849" s="18"/>
      <c r="G849" s="263"/>
      <c r="M849" s="263"/>
      <c r="R849" s="18"/>
      <c r="S849" s="18"/>
    </row>
    <row r="850">
      <c r="E850" s="18"/>
      <c r="F850" s="18"/>
      <c r="G850" s="263"/>
      <c r="M850" s="263"/>
      <c r="R850" s="18"/>
      <c r="S850" s="18"/>
    </row>
    <row r="851">
      <c r="E851" s="18"/>
      <c r="F851" s="18"/>
      <c r="G851" s="263"/>
      <c r="M851" s="263"/>
      <c r="R851" s="18"/>
      <c r="S851" s="18"/>
    </row>
    <row r="852">
      <c r="E852" s="18"/>
      <c r="F852" s="18"/>
      <c r="G852" s="263"/>
      <c r="M852" s="263"/>
      <c r="R852" s="18"/>
      <c r="S852" s="18"/>
    </row>
    <row r="853">
      <c r="E853" s="18"/>
      <c r="F853" s="18"/>
      <c r="G853" s="263"/>
      <c r="M853" s="263"/>
      <c r="R853" s="18"/>
      <c r="S853" s="18"/>
    </row>
    <row r="854">
      <c r="E854" s="18"/>
      <c r="F854" s="18"/>
      <c r="G854" s="263"/>
      <c r="M854" s="263"/>
      <c r="R854" s="18"/>
      <c r="S854" s="18"/>
    </row>
    <row r="855">
      <c r="E855" s="18"/>
      <c r="F855" s="18"/>
      <c r="G855" s="263"/>
      <c r="M855" s="263"/>
      <c r="R855" s="18"/>
      <c r="S855" s="18"/>
    </row>
    <row r="856">
      <c r="E856" s="18"/>
      <c r="F856" s="18"/>
      <c r="G856" s="263"/>
      <c r="M856" s="263"/>
      <c r="R856" s="18"/>
      <c r="S856" s="18"/>
    </row>
    <row r="857">
      <c r="E857" s="18"/>
      <c r="F857" s="18"/>
      <c r="G857" s="263"/>
      <c r="M857" s="263"/>
      <c r="R857" s="18"/>
      <c r="S857" s="18"/>
    </row>
    <row r="858">
      <c r="E858" s="18"/>
      <c r="F858" s="18"/>
      <c r="G858" s="263"/>
      <c r="M858" s="263"/>
      <c r="R858" s="18"/>
      <c r="S858" s="18"/>
    </row>
    <row r="859">
      <c r="E859" s="18"/>
      <c r="F859" s="18"/>
      <c r="G859" s="263"/>
      <c r="M859" s="263"/>
      <c r="R859" s="18"/>
      <c r="S859" s="18"/>
    </row>
    <row r="860">
      <c r="E860" s="18"/>
      <c r="F860" s="18"/>
      <c r="G860" s="263"/>
      <c r="M860" s="263"/>
      <c r="R860" s="18"/>
      <c r="S860" s="18"/>
    </row>
    <row r="861">
      <c r="E861" s="18"/>
      <c r="F861" s="18"/>
      <c r="G861" s="263"/>
      <c r="M861" s="263"/>
      <c r="R861" s="18"/>
      <c r="S861" s="18"/>
    </row>
    <row r="862">
      <c r="E862" s="18"/>
      <c r="F862" s="18"/>
      <c r="G862" s="263"/>
      <c r="M862" s="263"/>
      <c r="R862" s="18"/>
      <c r="S862" s="18"/>
    </row>
    <row r="863">
      <c r="E863" s="18"/>
      <c r="F863" s="18"/>
      <c r="G863" s="263"/>
      <c r="M863" s="263"/>
      <c r="R863" s="18"/>
      <c r="S863" s="18"/>
    </row>
    <row r="864">
      <c r="E864" s="18"/>
      <c r="F864" s="18"/>
      <c r="G864" s="263"/>
      <c r="M864" s="263"/>
      <c r="R864" s="18"/>
      <c r="S864" s="18"/>
    </row>
    <row r="865">
      <c r="E865" s="18"/>
      <c r="F865" s="18"/>
      <c r="G865" s="263"/>
      <c r="M865" s="263"/>
      <c r="R865" s="18"/>
      <c r="S865" s="18"/>
    </row>
    <row r="866">
      <c r="E866" s="18"/>
      <c r="F866" s="18"/>
      <c r="G866" s="263"/>
      <c r="M866" s="263"/>
      <c r="R866" s="18"/>
      <c r="S866" s="18"/>
    </row>
    <row r="867">
      <c r="E867" s="18"/>
      <c r="F867" s="18"/>
      <c r="G867" s="263"/>
      <c r="M867" s="263"/>
      <c r="R867" s="18"/>
      <c r="S867" s="18"/>
    </row>
    <row r="868">
      <c r="E868" s="18"/>
      <c r="F868" s="18"/>
      <c r="G868" s="263"/>
      <c r="M868" s="263"/>
      <c r="R868" s="18"/>
      <c r="S868" s="18"/>
    </row>
    <row r="869">
      <c r="E869" s="18"/>
      <c r="F869" s="18"/>
      <c r="G869" s="263"/>
      <c r="M869" s="263"/>
      <c r="R869" s="18"/>
      <c r="S869" s="18"/>
    </row>
    <row r="870">
      <c r="E870" s="18"/>
      <c r="F870" s="18"/>
      <c r="G870" s="263"/>
      <c r="M870" s="263"/>
      <c r="R870" s="18"/>
      <c r="S870" s="18"/>
    </row>
    <row r="871">
      <c r="E871" s="18"/>
      <c r="F871" s="18"/>
      <c r="G871" s="263"/>
      <c r="M871" s="263"/>
      <c r="R871" s="18"/>
      <c r="S871" s="18"/>
    </row>
    <row r="872">
      <c r="E872" s="18"/>
      <c r="F872" s="18"/>
      <c r="G872" s="263"/>
      <c r="M872" s="263"/>
      <c r="R872" s="18"/>
      <c r="S872" s="18"/>
    </row>
    <row r="873">
      <c r="E873" s="18"/>
      <c r="F873" s="18"/>
      <c r="G873" s="263"/>
      <c r="M873" s="263"/>
      <c r="R873" s="18"/>
      <c r="S873" s="18"/>
    </row>
    <row r="874">
      <c r="E874" s="18"/>
      <c r="F874" s="18"/>
      <c r="G874" s="263"/>
      <c r="M874" s="263"/>
      <c r="R874" s="18"/>
      <c r="S874" s="18"/>
    </row>
    <row r="875">
      <c r="E875" s="18"/>
      <c r="F875" s="18"/>
      <c r="G875" s="263"/>
      <c r="M875" s="263"/>
      <c r="R875" s="18"/>
      <c r="S875" s="18"/>
    </row>
    <row r="876">
      <c r="E876" s="18"/>
      <c r="F876" s="18"/>
      <c r="G876" s="263"/>
      <c r="M876" s="263"/>
      <c r="R876" s="18"/>
      <c r="S876" s="18"/>
    </row>
    <row r="877">
      <c r="E877" s="18"/>
      <c r="F877" s="18"/>
      <c r="G877" s="263"/>
      <c r="M877" s="263"/>
      <c r="R877" s="18"/>
      <c r="S877" s="18"/>
    </row>
    <row r="878">
      <c r="E878" s="18"/>
      <c r="F878" s="18"/>
      <c r="G878" s="263"/>
      <c r="M878" s="263"/>
      <c r="R878" s="18"/>
      <c r="S878" s="18"/>
    </row>
    <row r="879">
      <c r="E879" s="18"/>
      <c r="F879" s="18"/>
      <c r="G879" s="263"/>
      <c r="M879" s="263"/>
      <c r="R879" s="18"/>
      <c r="S879" s="18"/>
    </row>
    <row r="880">
      <c r="E880" s="18"/>
      <c r="F880" s="18"/>
      <c r="G880" s="263"/>
      <c r="M880" s="263"/>
      <c r="R880" s="18"/>
      <c r="S880" s="18"/>
    </row>
    <row r="881">
      <c r="E881" s="18"/>
      <c r="F881" s="18"/>
      <c r="G881" s="263"/>
      <c r="M881" s="263"/>
      <c r="R881" s="18"/>
      <c r="S881" s="18"/>
    </row>
    <row r="882">
      <c r="E882" s="18"/>
      <c r="F882" s="18"/>
      <c r="G882" s="263"/>
      <c r="M882" s="263"/>
      <c r="R882" s="18"/>
      <c r="S882" s="18"/>
    </row>
    <row r="883">
      <c r="E883" s="18"/>
      <c r="F883" s="18"/>
      <c r="G883" s="263"/>
      <c r="M883" s="263"/>
      <c r="R883" s="18"/>
      <c r="S883" s="18"/>
    </row>
    <row r="884">
      <c r="E884" s="18"/>
      <c r="F884" s="18"/>
      <c r="G884" s="263"/>
      <c r="M884" s="263"/>
      <c r="R884" s="18"/>
      <c r="S884" s="18"/>
    </row>
    <row r="885">
      <c r="E885" s="18"/>
      <c r="F885" s="18"/>
      <c r="G885" s="263"/>
      <c r="M885" s="263"/>
      <c r="R885" s="18"/>
      <c r="S885" s="18"/>
    </row>
    <row r="886">
      <c r="E886" s="18"/>
      <c r="F886" s="18"/>
      <c r="G886" s="263"/>
      <c r="M886" s="263"/>
      <c r="R886" s="18"/>
      <c r="S886" s="18"/>
    </row>
    <row r="887">
      <c r="E887" s="18"/>
      <c r="F887" s="18"/>
      <c r="G887" s="263"/>
      <c r="M887" s="263"/>
      <c r="R887" s="18"/>
      <c r="S887" s="18"/>
    </row>
    <row r="888">
      <c r="E888" s="18"/>
      <c r="F888" s="18"/>
      <c r="G888" s="263"/>
      <c r="M888" s="263"/>
      <c r="R888" s="18"/>
      <c r="S888" s="18"/>
    </row>
    <row r="889">
      <c r="E889" s="18"/>
      <c r="F889" s="18"/>
      <c r="G889" s="263"/>
      <c r="M889" s="263"/>
      <c r="R889" s="18"/>
      <c r="S889" s="18"/>
    </row>
    <row r="890">
      <c r="E890" s="18"/>
      <c r="F890" s="18"/>
      <c r="G890" s="263"/>
      <c r="M890" s="263"/>
      <c r="R890" s="18"/>
      <c r="S890" s="18"/>
    </row>
    <row r="891">
      <c r="E891" s="18"/>
      <c r="F891" s="18"/>
      <c r="G891" s="263"/>
      <c r="M891" s="263"/>
      <c r="R891" s="18"/>
      <c r="S891" s="18"/>
    </row>
    <row r="892">
      <c r="E892" s="18"/>
      <c r="F892" s="18"/>
      <c r="G892" s="263"/>
      <c r="M892" s="263"/>
      <c r="R892" s="18"/>
      <c r="S892" s="18"/>
    </row>
    <row r="893">
      <c r="E893" s="18"/>
      <c r="F893" s="18"/>
      <c r="G893" s="263"/>
      <c r="M893" s="263"/>
      <c r="R893" s="18"/>
      <c r="S893" s="18"/>
    </row>
    <row r="894">
      <c r="E894" s="18"/>
      <c r="F894" s="18"/>
      <c r="G894" s="263"/>
      <c r="M894" s="263"/>
      <c r="R894" s="18"/>
      <c r="S894" s="18"/>
    </row>
    <row r="895">
      <c r="E895" s="18"/>
      <c r="F895" s="18"/>
      <c r="G895" s="263"/>
      <c r="M895" s="263"/>
      <c r="R895" s="18"/>
      <c r="S895" s="18"/>
    </row>
    <row r="896">
      <c r="E896" s="18"/>
      <c r="F896" s="18"/>
      <c r="G896" s="263"/>
      <c r="M896" s="263"/>
      <c r="R896" s="18"/>
      <c r="S896" s="18"/>
    </row>
    <row r="897">
      <c r="E897" s="18"/>
      <c r="F897" s="18"/>
      <c r="G897" s="263"/>
      <c r="M897" s="263"/>
      <c r="R897" s="18"/>
      <c r="S897" s="18"/>
    </row>
    <row r="898">
      <c r="E898" s="18"/>
      <c r="F898" s="18"/>
      <c r="G898" s="263"/>
      <c r="M898" s="263"/>
      <c r="R898" s="18"/>
      <c r="S898" s="18"/>
    </row>
    <row r="899">
      <c r="E899" s="18"/>
      <c r="F899" s="18"/>
      <c r="G899" s="263"/>
      <c r="M899" s="263"/>
      <c r="R899" s="18"/>
      <c r="S899" s="18"/>
    </row>
    <row r="900">
      <c r="E900" s="18"/>
      <c r="F900" s="18"/>
      <c r="G900" s="263"/>
      <c r="M900" s="263"/>
      <c r="R900" s="18"/>
      <c r="S900" s="18"/>
    </row>
    <row r="901">
      <c r="E901" s="18"/>
      <c r="F901" s="18"/>
      <c r="G901" s="263"/>
      <c r="M901" s="263"/>
      <c r="R901" s="18"/>
      <c r="S901" s="18"/>
    </row>
    <row r="902">
      <c r="E902" s="18"/>
      <c r="F902" s="18"/>
      <c r="G902" s="263"/>
      <c r="M902" s="263"/>
      <c r="R902" s="18"/>
      <c r="S902" s="18"/>
    </row>
    <row r="903">
      <c r="E903" s="18"/>
      <c r="F903" s="18"/>
      <c r="G903" s="263"/>
      <c r="M903" s="263"/>
      <c r="R903" s="18"/>
      <c r="S903" s="18"/>
    </row>
    <row r="904">
      <c r="E904" s="18"/>
      <c r="F904" s="18"/>
      <c r="G904" s="263"/>
      <c r="M904" s="263"/>
      <c r="R904" s="18"/>
      <c r="S904" s="18"/>
    </row>
    <row r="905">
      <c r="E905" s="18"/>
      <c r="F905" s="18"/>
      <c r="G905" s="263"/>
      <c r="M905" s="263"/>
      <c r="R905" s="18"/>
      <c r="S905" s="18"/>
    </row>
    <row r="906">
      <c r="E906" s="18"/>
      <c r="F906" s="18"/>
      <c r="G906" s="263"/>
      <c r="M906" s="263"/>
      <c r="R906" s="18"/>
      <c r="S906" s="18"/>
    </row>
    <row r="907">
      <c r="E907" s="18"/>
      <c r="F907" s="18"/>
      <c r="G907" s="263"/>
      <c r="M907" s="263"/>
      <c r="R907" s="18"/>
      <c r="S907" s="18"/>
    </row>
    <row r="908">
      <c r="E908" s="18"/>
      <c r="F908" s="18"/>
      <c r="G908" s="263"/>
      <c r="M908" s="263"/>
      <c r="R908" s="18"/>
      <c r="S908" s="18"/>
    </row>
    <row r="909">
      <c r="E909" s="18"/>
      <c r="F909" s="18"/>
      <c r="G909" s="263"/>
      <c r="M909" s="263"/>
      <c r="R909" s="18"/>
      <c r="S909" s="18"/>
    </row>
    <row r="910">
      <c r="E910" s="18"/>
      <c r="F910" s="18"/>
      <c r="G910" s="263"/>
      <c r="M910" s="263"/>
      <c r="R910" s="18"/>
      <c r="S910" s="18"/>
    </row>
    <row r="911">
      <c r="E911" s="18"/>
      <c r="F911" s="18"/>
      <c r="G911" s="263"/>
      <c r="M911" s="263"/>
      <c r="R911" s="18"/>
      <c r="S911" s="18"/>
    </row>
    <row r="912">
      <c r="E912" s="18"/>
      <c r="F912" s="18"/>
      <c r="G912" s="263"/>
      <c r="M912" s="263"/>
      <c r="R912" s="18"/>
      <c r="S912" s="18"/>
    </row>
    <row r="913">
      <c r="E913" s="18"/>
      <c r="F913" s="18"/>
      <c r="G913" s="263"/>
      <c r="M913" s="263"/>
      <c r="R913" s="18"/>
      <c r="S913" s="18"/>
    </row>
    <row r="914">
      <c r="E914" s="18"/>
      <c r="F914" s="18"/>
      <c r="G914" s="263"/>
      <c r="M914" s="263"/>
      <c r="R914" s="18"/>
      <c r="S914" s="18"/>
    </row>
    <row r="915">
      <c r="E915" s="18"/>
      <c r="F915" s="18"/>
      <c r="G915" s="263"/>
      <c r="M915" s="263"/>
      <c r="R915" s="18"/>
      <c r="S915" s="18"/>
    </row>
    <row r="916">
      <c r="E916" s="18"/>
      <c r="F916" s="18"/>
      <c r="G916" s="263"/>
      <c r="M916" s="263"/>
      <c r="R916" s="18"/>
      <c r="S916" s="18"/>
    </row>
    <row r="917">
      <c r="E917" s="18"/>
      <c r="F917" s="18"/>
      <c r="G917" s="263"/>
      <c r="M917" s="263"/>
      <c r="R917" s="18"/>
      <c r="S917" s="18"/>
    </row>
    <row r="918">
      <c r="E918" s="18"/>
      <c r="F918" s="18"/>
      <c r="G918" s="263"/>
      <c r="M918" s="263"/>
      <c r="R918" s="18"/>
      <c r="S918" s="18"/>
    </row>
    <row r="919">
      <c r="E919" s="18"/>
      <c r="F919" s="18"/>
      <c r="G919" s="263"/>
      <c r="M919" s="263"/>
      <c r="R919" s="18"/>
      <c r="S919" s="18"/>
    </row>
    <row r="920">
      <c r="E920" s="18"/>
      <c r="F920" s="18"/>
      <c r="G920" s="263"/>
      <c r="M920" s="263"/>
      <c r="R920" s="18"/>
      <c r="S920" s="18"/>
    </row>
    <row r="921">
      <c r="E921" s="18"/>
      <c r="F921" s="18"/>
      <c r="G921" s="263"/>
      <c r="M921" s="263"/>
      <c r="R921" s="18"/>
      <c r="S921" s="18"/>
    </row>
    <row r="922">
      <c r="E922" s="18"/>
      <c r="F922" s="18"/>
      <c r="G922" s="263"/>
      <c r="M922" s="263"/>
      <c r="R922" s="18"/>
      <c r="S922" s="18"/>
    </row>
    <row r="923">
      <c r="E923" s="18"/>
      <c r="F923" s="18"/>
      <c r="G923" s="263"/>
      <c r="M923" s="263"/>
      <c r="R923" s="18"/>
      <c r="S923" s="18"/>
    </row>
    <row r="924">
      <c r="E924" s="18"/>
      <c r="F924" s="18"/>
      <c r="G924" s="263"/>
      <c r="M924" s="263"/>
      <c r="R924" s="18"/>
      <c r="S924" s="18"/>
    </row>
    <row r="925">
      <c r="E925" s="18"/>
      <c r="F925" s="18"/>
      <c r="G925" s="263"/>
      <c r="M925" s="263"/>
      <c r="R925" s="18"/>
      <c r="S925" s="18"/>
    </row>
    <row r="926">
      <c r="E926" s="18"/>
      <c r="F926" s="18"/>
      <c r="G926" s="263"/>
      <c r="M926" s="263"/>
      <c r="R926" s="18"/>
      <c r="S926" s="18"/>
    </row>
    <row r="927">
      <c r="E927" s="18"/>
      <c r="F927" s="18"/>
      <c r="G927" s="263"/>
      <c r="M927" s="263"/>
      <c r="R927" s="18"/>
      <c r="S927" s="18"/>
    </row>
    <row r="928">
      <c r="E928" s="18"/>
      <c r="F928" s="18"/>
      <c r="G928" s="263"/>
      <c r="M928" s="263"/>
      <c r="R928" s="18"/>
      <c r="S928" s="18"/>
    </row>
    <row r="929">
      <c r="E929" s="18"/>
      <c r="F929" s="18"/>
      <c r="G929" s="263"/>
      <c r="M929" s="263"/>
      <c r="R929" s="18"/>
      <c r="S929" s="18"/>
    </row>
    <row r="930">
      <c r="E930" s="18"/>
      <c r="F930" s="18"/>
      <c r="G930" s="263"/>
      <c r="M930" s="263"/>
      <c r="R930" s="18"/>
      <c r="S930" s="18"/>
    </row>
    <row r="931">
      <c r="E931" s="18"/>
      <c r="F931" s="18"/>
      <c r="G931" s="263"/>
      <c r="M931" s="263"/>
      <c r="R931" s="18"/>
      <c r="S931" s="18"/>
    </row>
    <row r="932">
      <c r="E932" s="18"/>
      <c r="F932" s="18"/>
      <c r="G932" s="263"/>
      <c r="M932" s="263"/>
      <c r="R932" s="18"/>
      <c r="S932" s="18"/>
    </row>
    <row r="933">
      <c r="E933" s="18"/>
      <c r="F933" s="18"/>
      <c r="G933" s="263"/>
      <c r="M933" s="263"/>
      <c r="R933" s="18"/>
      <c r="S933" s="18"/>
    </row>
    <row r="934">
      <c r="E934" s="18"/>
      <c r="F934" s="18"/>
      <c r="G934" s="263"/>
      <c r="M934" s="263"/>
      <c r="R934" s="18"/>
      <c r="S934" s="18"/>
    </row>
    <row r="935">
      <c r="E935" s="18"/>
      <c r="F935" s="18"/>
      <c r="G935" s="263"/>
      <c r="M935" s="263"/>
      <c r="R935" s="18"/>
      <c r="S935" s="18"/>
    </row>
    <row r="936">
      <c r="E936" s="18"/>
      <c r="F936" s="18"/>
      <c r="G936" s="263"/>
      <c r="M936" s="263"/>
      <c r="R936" s="18"/>
      <c r="S936" s="18"/>
    </row>
    <row r="937">
      <c r="E937" s="18"/>
      <c r="F937" s="18"/>
      <c r="G937" s="263"/>
      <c r="M937" s="263"/>
      <c r="R937" s="18"/>
      <c r="S937" s="18"/>
    </row>
    <row r="938">
      <c r="E938" s="18"/>
      <c r="F938" s="18"/>
      <c r="G938" s="263"/>
      <c r="M938" s="263"/>
      <c r="R938" s="18"/>
      <c r="S938" s="18"/>
    </row>
    <row r="939">
      <c r="E939" s="18"/>
      <c r="F939" s="18"/>
      <c r="G939" s="263"/>
      <c r="M939" s="263"/>
      <c r="R939" s="18"/>
      <c r="S939" s="18"/>
    </row>
    <row r="940">
      <c r="E940" s="18"/>
      <c r="F940" s="18"/>
      <c r="G940" s="263"/>
      <c r="M940" s="263"/>
      <c r="R940" s="18"/>
      <c r="S940" s="18"/>
    </row>
    <row r="941">
      <c r="E941" s="18"/>
      <c r="F941" s="18"/>
      <c r="G941" s="263"/>
      <c r="M941" s="263"/>
      <c r="R941" s="18"/>
      <c r="S941" s="18"/>
    </row>
    <row r="942">
      <c r="E942" s="18"/>
      <c r="F942" s="18"/>
      <c r="G942" s="263"/>
      <c r="M942" s="263"/>
      <c r="R942" s="18"/>
      <c r="S942" s="18"/>
    </row>
    <row r="943">
      <c r="E943" s="18"/>
      <c r="F943" s="18"/>
      <c r="G943" s="263"/>
      <c r="M943" s="263"/>
      <c r="R943" s="18"/>
      <c r="S943" s="18"/>
    </row>
    <row r="944">
      <c r="E944" s="18"/>
      <c r="F944" s="18"/>
      <c r="G944" s="263"/>
      <c r="M944" s="263"/>
      <c r="R944" s="18"/>
      <c r="S944" s="18"/>
    </row>
    <row r="945">
      <c r="E945" s="18"/>
      <c r="F945" s="18"/>
      <c r="G945" s="263"/>
      <c r="M945" s="263"/>
      <c r="R945" s="18"/>
      <c r="S945" s="18"/>
    </row>
    <row r="946">
      <c r="E946" s="18"/>
      <c r="F946" s="18"/>
      <c r="G946" s="263"/>
      <c r="M946" s="263"/>
      <c r="R946" s="18"/>
      <c r="S946" s="18"/>
    </row>
    <row r="947">
      <c r="E947" s="18"/>
      <c r="F947" s="18"/>
      <c r="G947" s="263"/>
      <c r="M947" s="263"/>
      <c r="R947" s="18"/>
      <c r="S947" s="18"/>
    </row>
    <row r="948">
      <c r="E948" s="18"/>
      <c r="F948" s="18"/>
      <c r="G948" s="263"/>
      <c r="M948" s="263"/>
      <c r="R948" s="18"/>
      <c r="S948" s="18"/>
    </row>
    <row r="949">
      <c r="E949" s="18"/>
      <c r="F949" s="18"/>
      <c r="G949" s="263"/>
      <c r="M949" s="263"/>
      <c r="R949" s="18"/>
      <c r="S949" s="18"/>
    </row>
    <row r="950">
      <c r="E950" s="18"/>
      <c r="F950" s="18"/>
      <c r="G950" s="263"/>
      <c r="M950" s="263"/>
      <c r="R950" s="18"/>
      <c r="S950" s="18"/>
    </row>
    <row r="951">
      <c r="E951" s="18"/>
      <c r="F951" s="18"/>
      <c r="G951" s="263"/>
      <c r="M951" s="263"/>
      <c r="R951" s="18"/>
      <c r="S951" s="18"/>
    </row>
    <row r="952">
      <c r="E952" s="18"/>
      <c r="F952" s="18"/>
      <c r="G952" s="263"/>
      <c r="M952" s="263"/>
      <c r="R952" s="18"/>
      <c r="S952" s="18"/>
    </row>
    <row r="953">
      <c r="E953" s="18"/>
      <c r="F953" s="18"/>
      <c r="G953" s="263"/>
      <c r="M953" s="263"/>
      <c r="R953" s="18"/>
      <c r="S953" s="18"/>
    </row>
    <row r="954">
      <c r="E954" s="18"/>
      <c r="F954" s="18"/>
      <c r="G954" s="263"/>
      <c r="M954" s="263"/>
      <c r="R954" s="18"/>
      <c r="S954" s="18"/>
    </row>
    <row r="955">
      <c r="E955" s="18"/>
      <c r="F955" s="18"/>
      <c r="G955" s="263"/>
      <c r="M955" s="263"/>
      <c r="R955" s="18"/>
      <c r="S955" s="18"/>
    </row>
    <row r="956">
      <c r="E956" s="18"/>
      <c r="F956" s="18"/>
      <c r="G956" s="263"/>
      <c r="M956" s="263"/>
      <c r="R956" s="18"/>
      <c r="S956" s="18"/>
    </row>
    <row r="957">
      <c r="E957" s="18"/>
      <c r="F957" s="18"/>
      <c r="G957" s="263"/>
      <c r="M957" s="263"/>
      <c r="R957" s="18"/>
      <c r="S957" s="18"/>
    </row>
    <row r="958">
      <c r="E958" s="18"/>
      <c r="F958" s="18"/>
      <c r="G958" s="263"/>
      <c r="M958" s="263"/>
      <c r="R958" s="18"/>
      <c r="S958" s="18"/>
    </row>
    <row r="959">
      <c r="E959" s="18"/>
      <c r="F959" s="18"/>
      <c r="G959" s="263"/>
      <c r="M959" s="263"/>
      <c r="R959" s="18"/>
      <c r="S959" s="18"/>
    </row>
    <row r="960">
      <c r="E960" s="18"/>
      <c r="F960" s="18"/>
      <c r="G960" s="263"/>
      <c r="M960" s="263"/>
      <c r="R960" s="18"/>
      <c r="S960" s="18"/>
    </row>
    <row r="961">
      <c r="E961" s="18"/>
      <c r="F961" s="18"/>
      <c r="G961" s="263"/>
      <c r="M961" s="263"/>
      <c r="R961" s="18"/>
      <c r="S961" s="18"/>
    </row>
    <row r="962">
      <c r="E962" s="18"/>
      <c r="F962" s="18"/>
      <c r="G962" s="263"/>
      <c r="M962" s="263"/>
      <c r="R962" s="18"/>
      <c r="S962" s="18"/>
    </row>
    <row r="963">
      <c r="E963" s="18"/>
      <c r="F963" s="18"/>
      <c r="G963" s="263"/>
      <c r="M963" s="263"/>
      <c r="R963" s="18"/>
      <c r="S963" s="18"/>
    </row>
    <row r="964">
      <c r="E964" s="18"/>
      <c r="F964" s="18"/>
      <c r="G964" s="263"/>
      <c r="M964" s="263"/>
      <c r="R964" s="18"/>
      <c r="S964" s="18"/>
    </row>
    <row r="965">
      <c r="E965" s="18"/>
      <c r="F965" s="18"/>
      <c r="G965" s="263"/>
      <c r="M965" s="263"/>
      <c r="R965" s="18"/>
      <c r="S965" s="18"/>
    </row>
    <row r="966">
      <c r="E966" s="18"/>
      <c r="F966" s="18"/>
      <c r="G966" s="263"/>
      <c r="M966" s="263"/>
      <c r="R966" s="18"/>
      <c r="S966" s="18"/>
    </row>
    <row r="967">
      <c r="E967" s="18"/>
      <c r="F967" s="18"/>
      <c r="G967" s="263"/>
      <c r="M967" s="263"/>
      <c r="R967" s="18"/>
      <c r="S967" s="18"/>
    </row>
    <row r="968">
      <c r="E968" s="18"/>
      <c r="F968" s="18"/>
      <c r="G968" s="263"/>
      <c r="M968" s="263"/>
      <c r="R968" s="18"/>
      <c r="S968" s="18"/>
    </row>
    <row r="969">
      <c r="E969" s="18"/>
      <c r="F969" s="18"/>
      <c r="G969" s="263"/>
      <c r="M969" s="263"/>
      <c r="R969" s="18"/>
      <c r="S969" s="18"/>
    </row>
    <row r="970">
      <c r="E970" s="18"/>
      <c r="F970" s="18"/>
      <c r="G970" s="263"/>
      <c r="M970" s="263"/>
      <c r="R970" s="18"/>
      <c r="S970" s="18"/>
    </row>
    <row r="971">
      <c r="E971" s="18"/>
      <c r="F971" s="18"/>
      <c r="G971" s="263"/>
      <c r="M971" s="263"/>
      <c r="R971" s="18"/>
      <c r="S971" s="18"/>
    </row>
    <row r="972">
      <c r="E972" s="18"/>
      <c r="F972" s="18"/>
      <c r="G972" s="263"/>
      <c r="M972" s="263"/>
      <c r="R972" s="18"/>
      <c r="S972" s="18"/>
    </row>
    <row r="973">
      <c r="E973" s="18"/>
      <c r="F973" s="18"/>
      <c r="G973" s="263"/>
      <c r="M973" s="263"/>
      <c r="R973" s="18"/>
      <c r="S973" s="18"/>
    </row>
    <row r="974">
      <c r="E974" s="18"/>
      <c r="F974" s="18"/>
      <c r="G974" s="263"/>
      <c r="M974" s="263"/>
      <c r="R974" s="18"/>
      <c r="S974" s="18"/>
    </row>
    <row r="975">
      <c r="E975" s="18"/>
      <c r="F975" s="18"/>
      <c r="G975" s="263"/>
      <c r="M975" s="263"/>
      <c r="R975" s="18"/>
      <c r="S975" s="18"/>
    </row>
    <row r="976">
      <c r="E976" s="18"/>
      <c r="F976" s="18"/>
      <c r="G976" s="263"/>
      <c r="M976" s="263"/>
      <c r="R976" s="18"/>
      <c r="S976" s="18"/>
    </row>
    <row r="977">
      <c r="E977" s="18"/>
      <c r="F977" s="18"/>
      <c r="G977" s="263"/>
      <c r="M977" s="263"/>
      <c r="R977" s="18"/>
      <c r="S977" s="18"/>
    </row>
    <row r="978">
      <c r="E978" s="18"/>
      <c r="F978" s="18"/>
      <c r="G978" s="263"/>
      <c r="M978" s="263"/>
      <c r="R978" s="18"/>
      <c r="S978" s="18"/>
    </row>
    <row r="979">
      <c r="E979" s="18"/>
      <c r="F979" s="18"/>
      <c r="G979" s="263"/>
      <c r="M979" s="263"/>
      <c r="R979" s="18"/>
      <c r="S979" s="18"/>
    </row>
    <row r="980">
      <c r="E980" s="18"/>
      <c r="F980" s="18"/>
      <c r="G980" s="263"/>
      <c r="M980" s="263"/>
      <c r="R980" s="18"/>
      <c r="S980" s="18"/>
    </row>
    <row r="981">
      <c r="E981" s="18"/>
      <c r="F981" s="18"/>
      <c r="G981" s="263"/>
      <c r="M981" s="263"/>
      <c r="R981" s="18"/>
      <c r="S981" s="18"/>
    </row>
    <row r="982">
      <c r="E982" s="18"/>
      <c r="F982" s="18"/>
      <c r="G982" s="263"/>
      <c r="M982" s="263"/>
      <c r="R982" s="18"/>
      <c r="S982" s="18"/>
    </row>
    <row r="983">
      <c r="E983" s="18"/>
      <c r="F983" s="18"/>
      <c r="G983" s="263"/>
      <c r="M983" s="263"/>
      <c r="R983" s="18"/>
      <c r="S983" s="18"/>
    </row>
    <row r="984">
      <c r="E984" s="18"/>
      <c r="F984" s="18"/>
      <c r="G984" s="263"/>
      <c r="M984" s="263"/>
      <c r="R984" s="18"/>
      <c r="S984" s="18"/>
    </row>
    <row r="985">
      <c r="E985" s="18"/>
      <c r="F985" s="18"/>
      <c r="G985" s="263"/>
      <c r="M985" s="263"/>
      <c r="R985" s="18"/>
      <c r="S985" s="18"/>
    </row>
    <row r="986">
      <c r="E986" s="18"/>
      <c r="F986" s="18"/>
      <c r="G986" s="263"/>
      <c r="M986" s="263"/>
      <c r="R986" s="18"/>
      <c r="S986" s="18"/>
    </row>
    <row r="987">
      <c r="E987" s="18"/>
      <c r="F987" s="18"/>
      <c r="G987" s="263"/>
      <c r="M987" s="263"/>
      <c r="R987" s="18"/>
      <c r="S987" s="18"/>
    </row>
    <row r="988">
      <c r="E988" s="18"/>
      <c r="F988" s="18"/>
      <c r="G988" s="263"/>
      <c r="M988" s="263"/>
      <c r="R988" s="18"/>
      <c r="S988" s="18"/>
    </row>
    <row r="989">
      <c r="E989" s="18"/>
      <c r="F989" s="18"/>
      <c r="G989" s="263"/>
      <c r="M989" s="263"/>
      <c r="R989" s="18"/>
      <c r="S989" s="18"/>
    </row>
    <row r="990">
      <c r="E990" s="18"/>
      <c r="F990" s="18"/>
      <c r="G990" s="263"/>
      <c r="M990" s="263"/>
      <c r="R990" s="18"/>
      <c r="S990" s="18"/>
    </row>
    <row r="991">
      <c r="E991" s="18"/>
      <c r="F991" s="18"/>
      <c r="G991" s="263"/>
      <c r="M991" s="263"/>
      <c r="R991" s="18"/>
      <c r="S991" s="18"/>
    </row>
    <row r="992">
      <c r="E992" s="18"/>
      <c r="F992" s="18"/>
      <c r="G992" s="263"/>
      <c r="M992" s="263"/>
      <c r="R992" s="18"/>
      <c r="S992" s="18"/>
    </row>
    <row r="993">
      <c r="E993" s="18"/>
      <c r="F993" s="18"/>
      <c r="G993" s="263"/>
      <c r="M993" s="263"/>
      <c r="R993" s="18"/>
      <c r="S993" s="18"/>
    </row>
    <row r="994">
      <c r="E994" s="18"/>
      <c r="F994" s="18"/>
      <c r="G994" s="263"/>
      <c r="M994" s="263"/>
      <c r="R994" s="18"/>
      <c r="S994" s="18"/>
    </row>
    <row r="995">
      <c r="E995" s="18"/>
      <c r="F995" s="18"/>
      <c r="G995" s="263"/>
      <c r="M995" s="263"/>
      <c r="R995" s="18"/>
      <c r="S995" s="18"/>
    </row>
    <row r="996">
      <c r="E996" s="18"/>
      <c r="F996" s="18"/>
      <c r="G996" s="263"/>
      <c r="M996" s="263"/>
      <c r="R996" s="18"/>
      <c r="S996" s="18"/>
    </row>
    <row r="997">
      <c r="E997" s="18"/>
      <c r="F997" s="18"/>
      <c r="G997" s="263"/>
      <c r="M997" s="263"/>
      <c r="R997" s="18"/>
      <c r="S997" s="18"/>
    </row>
    <row r="998">
      <c r="E998" s="18"/>
      <c r="F998" s="18"/>
      <c r="G998" s="263"/>
      <c r="M998" s="263"/>
      <c r="R998" s="18"/>
      <c r="S998" s="18"/>
    </row>
    <row r="999">
      <c r="E999" s="18"/>
      <c r="F999" s="18"/>
      <c r="G999" s="263"/>
      <c r="M999" s="263"/>
      <c r="R999" s="18"/>
      <c r="S999" s="18"/>
    </row>
    <row r="1000">
      <c r="E1000" s="18"/>
      <c r="F1000" s="18"/>
      <c r="G1000" s="263"/>
      <c r="M1000" s="263"/>
      <c r="R1000" s="18"/>
      <c r="S1000" s="18"/>
    </row>
    <row r="1001">
      <c r="E1001" s="18"/>
      <c r="F1001" s="18"/>
      <c r="G1001" s="263"/>
      <c r="M1001" s="263"/>
      <c r="R1001" s="18"/>
      <c r="S1001" s="18"/>
    </row>
    <row r="1002">
      <c r="E1002" s="18"/>
      <c r="F1002" s="18"/>
      <c r="G1002" s="263"/>
      <c r="M1002" s="263"/>
      <c r="R1002" s="18"/>
      <c r="S1002" s="18"/>
    </row>
    <row r="1003">
      <c r="E1003" s="18"/>
      <c r="F1003" s="18"/>
      <c r="G1003" s="263"/>
      <c r="M1003" s="263"/>
      <c r="R1003" s="18"/>
      <c r="S1003" s="18"/>
    </row>
    <row r="1004">
      <c r="E1004" s="18"/>
      <c r="F1004" s="18"/>
      <c r="G1004" s="263"/>
      <c r="M1004" s="263"/>
      <c r="R1004" s="18"/>
      <c r="S1004" s="18"/>
    </row>
    <row r="1005">
      <c r="E1005" s="18"/>
      <c r="F1005" s="18"/>
      <c r="G1005" s="263"/>
      <c r="M1005" s="263"/>
      <c r="R1005" s="18"/>
      <c r="S1005" s="18"/>
    </row>
    <row r="1006">
      <c r="E1006" s="18"/>
      <c r="F1006" s="18"/>
      <c r="G1006" s="263"/>
      <c r="M1006" s="263"/>
      <c r="R1006" s="18"/>
      <c r="S1006" s="18"/>
    </row>
    <row r="1007">
      <c r="E1007" s="18"/>
      <c r="F1007" s="18"/>
      <c r="G1007" s="263"/>
      <c r="M1007" s="263"/>
      <c r="R1007" s="18"/>
      <c r="S1007" s="18"/>
    </row>
    <row r="1008">
      <c r="E1008" s="18"/>
      <c r="F1008" s="18"/>
      <c r="G1008" s="263"/>
      <c r="M1008" s="263"/>
      <c r="R1008" s="18"/>
      <c r="S1008" s="18"/>
    </row>
    <row r="1009">
      <c r="E1009" s="18"/>
      <c r="F1009" s="18"/>
      <c r="G1009" s="263"/>
      <c r="M1009" s="263"/>
      <c r="R1009" s="18"/>
      <c r="S1009" s="18"/>
    </row>
    <row r="1010">
      <c r="E1010" s="18"/>
      <c r="F1010" s="18"/>
      <c r="G1010" s="263"/>
      <c r="M1010" s="263"/>
      <c r="R1010" s="18"/>
      <c r="S1010" s="18"/>
    </row>
    <row r="1011">
      <c r="E1011" s="18"/>
      <c r="F1011" s="18"/>
      <c r="G1011" s="263"/>
      <c r="M1011" s="263"/>
      <c r="R1011" s="18"/>
      <c r="S1011" s="18"/>
    </row>
    <row r="1012">
      <c r="E1012" s="18"/>
      <c r="F1012" s="18"/>
      <c r="G1012" s="263"/>
      <c r="M1012" s="263"/>
      <c r="R1012" s="18"/>
      <c r="S1012" s="18"/>
    </row>
    <row r="1013">
      <c r="E1013" s="18"/>
      <c r="F1013" s="18"/>
      <c r="G1013" s="263"/>
      <c r="M1013" s="263"/>
      <c r="R1013" s="18"/>
      <c r="S1013" s="18"/>
    </row>
    <row r="1014">
      <c r="E1014" s="18"/>
      <c r="F1014" s="18"/>
      <c r="G1014" s="263"/>
      <c r="M1014" s="263"/>
      <c r="R1014" s="18"/>
      <c r="S1014" s="18"/>
    </row>
    <row r="1015">
      <c r="E1015" s="18"/>
      <c r="F1015" s="18"/>
      <c r="G1015" s="263"/>
      <c r="M1015" s="263"/>
      <c r="R1015" s="18"/>
      <c r="S1015" s="18"/>
    </row>
    <row r="1016">
      <c r="E1016" s="18"/>
      <c r="F1016" s="18"/>
      <c r="G1016" s="263"/>
      <c r="M1016" s="263"/>
      <c r="R1016" s="18"/>
      <c r="S1016" s="18"/>
    </row>
    <row r="1017">
      <c r="E1017" s="18"/>
      <c r="F1017" s="18"/>
      <c r="G1017" s="263"/>
      <c r="M1017" s="263"/>
      <c r="R1017" s="18"/>
      <c r="S1017" s="18"/>
    </row>
    <row r="1018">
      <c r="E1018" s="18"/>
      <c r="F1018" s="18"/>
      <c r="G1018" s="263"/>
      <c r="M1018" s="263"/>
      <c r="R1018" s="18"/>
      <c r="S1018" s="18"/>
    </row>
    <row r="1019">
      <c r="E1019" s="18"/>
      <c r="F1019" s="18"/>
      <c r="G1019" s="263"/>
      <c r="M1019" s="263"/>
      <c r="R1019" s="18"/>
      <c r="S1019" s="18"/>
    </row>
    <row r="1020">
      <c r="E1020" s="18"/>
      <c r="F1020" s="18"/>
      <c r="G1020" s="263"/>
      <c r="M1020" s="263"/>
      <c r="R1020" s="18"/>
      <c r="S1020" s="18"/>
    </row>
    <row r="1021">
      <c r="E1021" s="18"/>
      <c r="F1021" s="18"/>
      <c r="G1021" s="263"/>
      <c r="M1021" s="263"/>
      <c r="R1021" s="18"/>
      <c r="S1021" s="18"/>
    </row>
    <row r="1022">
      <c r="E1022" s="18"/>
      <c r="F1022" s="18"/>
      <c r="G1022" s="263"/>
      <c r="M1022" s="263"/>
      <c r="R1022" s="18"/>
      <c r="S1022" s="18"/>
    </row>
    <row r="1023">
      <c r="E1023" s="18"/>
      <c r="F1023" s="18"/>
      <c r="G1023" s="263"/>
      <c r="M1023" s="263"/>
      <c r="R1023" s="18"/>
      <c r="S1023" s="18"/>
    </row>
    <row r="1024">
      <c r="E1024" s="18"/>
      <c r="F1024" s="18"/>
      <c r="G1024" s="263"/>
      <c r="M1024" s="263"/>
      <c r="R1024" s="18"/>
      <c r="S1024" s="18"/>
    </row>
    <row r="1025">
      <c r="E1025" s="18"/>
      <c r="F1025" s="18"/>
      <c r="G1025" s="263"/>
      <c r="M1025" s="263"/>
      <c r="R1025" s="18"/>
      <c r="S1025" s="18"/>
    </row>
    <row r="1026">
      <c r="E1026" s="18"/>
      <c r="F1026" s="18"/>
      <c r="G1026" s="263"/>
      <c r="M1026" s="263"/>
      <c r="R1026" s="18"/>
      <c r="S1026" s="18"/>
    </row>
    <row r="1027">
      <c r="E1027" s="18"/>
      <c r="F1027" s="18"/>
      <c r="G1027" s="263"/>
      <c r="M1027" s="263"/>
      <c r="R1027" s="18"/>
      <c r="S1027" s="18"/>
    </row>
    <row r="1028">
      <c r="E1028" s="18"/>
      <c r="F1028" s="18"/>
      <c r="G1028" s="263"/>
      <c r="M1028" s="263"/>
      <c r="R1028" s="18"/>
      <c r="S1028" s="18"/>
    </row>
    <row r="1029">
      <c r="E1029" s="18"/>
      <c r="F1029" s="18"/>
      <c r="G1029" s="263"/>
      <c r="M1029" s="263"/>
      <c r="R1029" s="18"/>
      <c r="S1029" s="18"/>
    </row>
    <row r="1030">
      <c r="E1030" s="18"/>
      <c r="F1030" s="18"/>
      <c r="G1030" s="263"/>
      <c r="M1030" s="263"/>
      <c r="R1030" s="18"/>
      <c r="S1030" s="18"/>
    </row>
    <row r="1031">
      <c r="E1031" s="18"/>
      <c r="F1031" s="18"/>
      <c r="G1031" s="263"/>
      <c r="M1031" s="263"/>
      <c r="R1031" s="18"/>
      <c r="S1031" s="18"/>
    </row>
    <row r="1032">
      <c r="E1032" s="18"/>
      <c r="F1032" s="18"/>
      <c r="G1032" s="263"/>
      <c r="M1032" s="263"/>
      <c r="R1032" s="18"/>
      <c r="S1032" s="18"/>
    </row>
    <row r="1033">
      <c r="E1033" s="18"/>
      <c r="F1033" s="18"/>
      <c r="G1033" s="263"/>
      <c r="M1033" s="263"/>
      <c r="R1033" s="18"/>
      <c r="S1033" s="18"/>
    </row>
    <row r="1034">
      <c r="E1034" s="18"/>
      <c r="F1034" s="18"/>
      <c r="G1034" s="263"/>
      <c r="M1034" s="263"/>
      <c r="R1034" s="18"/>
      <c r="S1034" s="18"/>
    </row>
    <row r="1035">
      <c r="E1035" s="18"/>
      <c r="F1035" s="18"/>
      <c r="G1035" s="263"/>
      <c r="M1035" s="263"/>
      <c r="R1035" s="18"/>
      <c r="S1035" s="18"/>
    </row>
    <row r="1036">
      <c r="E1036" s="18"/>
      <c r="F1036" s="18"/>
      <c r="G1036" s="263"/>
      <c r="M1036" s="263"/>
      <c r="R1036" s="18"/>
      <c r="S1036" s="18"/>
    </row>
    <row r="1037">
      <c r="E1037" s="18"/>
      <c r="F1037" s="18"/>
      <c r="G1037" s="263"/>
      <c r="M1037" s="263"/>
      <c r="R1037" s="18"/>
      <c r="S1037" s="18"/>
    </row>
    <row r="1038">
      <c r="E1038" s="18"/>
      <c r="F1038" s="18"/>
      <c r="G1038" s="263"/>
      <c r="M1038" s="263"/>
      <c r="R1038" s="18"/>
      <c r="S1038" s="18"/>
    </row>
    <row r="1039">
      <c r="E1039" s="18"/>
      <c r="F1039" s="18"/>
      <c r="G1039" s="263"/>
      <c r="M1039" s="263"/>
      <c r="R1039" s="18"/>
      <c r="S1039" s="18"/>
    </row>
    <row r="1040">
      <c r="E1040" s="18"/>
      <c r="F1040" s="18"/>
      <c r="G1040" s="263"/>
      <c r="M1040" s="263"/>
      <c r="R1040" s="18"/>
      <c r="S1040" s="18"/>
    </row>
    <row r="1041">
      <c r="E1041" s="18"/>
      <c r="F1041" s="18"/>
      <c r="G1041" s="263"/>
      <c r="M1041" s="263"/>
      <c r="R1041" s="18"/>
      <c r="S1041" s="18"/>
    </row>
    <row r="1042">
      <c r="E1042" s="18"/>
      <c r="F1042" s="18"/>
      <c r="G1042" s="263"/>
      <c r="M1042" s="263"/>
      <c r="R1042" s="18"/>
      <c r="S1042" s="18"/>
    </row>
    <row r="1043">
      <c r="E1043" s="18"/>
      <c r="F1043" s="18"/>
      <c r="G1043" s="263"/>
      <c r="M1043" s="263"/>
      <c r="R1043" s="18"/>
      <c r="S1043" s="18"/>
    </row>
    <row r="1044">
      <c r="E1044" s="18"/>
      <c r="F1044" s="18"/>
      <c r="G1044" s="263"/>
      <c r="M1044" s="263"/>
      <c r="R1044" s="18"/>
      <c r="S1044" s="18"/>
    </row>
    <row r="1045">
      <c r="E1045" s="18"/>
      <c r="F1045" s="18"/>
      <c r="G1045" s="263"/>
      <c r="M1045" s="263"/>
      <c r="R1045" s="18"/>
      <c r="S1045" s="18"/>
    </row>
    <row r="1046">
      <c r="E1046" s="18"/>
      <c r="F1046" s="18"/>
      <c r="G1046" s="263"/>
      <c r="M1046" s="263"/>
      <c r="R1046" s="18"/>
      <c r="S1046" s="18"/>
    </row>
    <row r="1047">
      <c r="E1047" s="18"/>
      <c r="F1047" s="18"/>
      <c r="G1047" s="263"/>
      <c r="M1047" s="263"/>
      <c r="R1047" s="18"/>
      <c r="S1047" s="18"/>
    </row>
    <row r="1048">
      <c r="E1048" s="18"/>
      <c r="F1048" s="18"/>
      <c r="G1048" s="263"/>
      <c r="M1048" s="263"/>
      <c r="R1048" s="18"/>
      <c r="S1048" s="18"/>
    </row>
    <row r="1049">
      <c r="E1049" s="18"/>
      <c r="F1049" s="18"/>
      <c r="G1049" s="263"/>
      <c r="M1049" s="263"/>
      <c r="R1049" s="18"/>
      <c r="S1049" s="18"/>
    </row>
    <row r="1050">
      <c r="E1050" s="18"/>
      <c r="F1050" s="18"/>
      <c r="G1050" s="263"/>
      <c r="M1050" s="263"/>
      <c r="R1050" s="18"/>
      <c r="S1050" s="18"/>
    </row>
    <row r="1051">
      <c r="E1051" s="18"/>
      <c r="F1051" s="18"/>
      <c r="G1051" s="263"/>
      <c r="M1051" s="263"/>
      <c r="R1051" s="18"/>
      <c r="S1051" s="18"/>
    </row>
    <row r="1052">
      <c r="E1052" s="18"/>
      <c r="F1052" s="18"/>
      <c r="G1052" s="263"/>
      <c r="M1052" s="263"/>
      <c r="R1052" s="18"/>
      <c r="S1052" s="18"/>
    </row>
    <row r="1053">
      <c r="E1053" s="18"/>
      <c r="F1053" s="18"/>
      <c r="G1053" s="263"/>
      <c r="M1053" s="263"/>
      <c r="R1053" s="18"/>
      <c r="S1053" s="18"/>
    </row>
    <row r="1054">
      <c r="E1054" s="18"/>
      <c r="F1054" s="18"/>
      <c r="G1054" s="263"/>
      <c r="M1054" s="263"/>
      <c r="R1054" s="18"/>
      <c r="S1054" s="18"/>
    </row>
    <row r="1055">
      <c r="E1055" s="18"/>
      <c r="F1055" s="18"/>
      <c r="G1055" s="263"/>
      <c r="M1055" s="263"/>
      <c r="R1055" s="18"/>
      <c r="S1055" s="18"/>
    </row>
    <row r="1056">
      <c r="E1056" s="18"/>
      <c r="F1056" s="18"/>
      <c r="G1056" s="263"/>
      <c r="M1056" s="263"/>
      <c r="R1056" s="18"/>
      <c r="S1056" s="18"/>
    </row>
    <row r="1057">
      <c r="E1057" s="18"/>
      <c r="F1057" s="18"/>
      <c r="G1057" s="263"/>
      <c r="M1057" s="263"/>
      <c r="R1057" s="18"/>
      <c r="S1057" s="18"/>
    </row>
    <row r="1058">
      <c r="E1058" s="18"/>
      <c r="F1058" s="18"/>
      <c r="G1058" s="263"/>
      <c r="M1058" s="263"/>
      <c r="R1058" s="18"/>
      <c r="S1058" s="18"/>
    </row>
  </sheetData>
  <dataValidations>
    <dataValidation type="custom" allowBlank="1" showDropDown="1" sqref="E2:G230 M2:M23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33.13"/>
    <col customWidth="1" min="3" max="3" width="7.75"/>
    <col customWidth="1" min="8" max="8" width="15.13"/>
    <col customWidth="1" min="16" max="16" width="19.13"/>
    <col customWidth="1" min="17" max="17" width="17.0"/>
  </cols>
  <sheetData>
    <row r="1" ht="22.5" customHeight="1">
      <c r="A1" s="234" t="s">
        <v>301</v>
      </c>
      <c r="B1" s="234" t="s">
        <v>15</v>
      </c>
      <c r="C1" s="234" t="s">
        <v>303</v>
      </c>
      <c r="D1" s="234" t="s">
        <v>33</v>
      </c>
      <c r="E1" s="235" t="s">
        <v>598</v>
      </c>
      <c r="F1" s="235" t="s">
        <v>765</v>
      </c>
      <c r="G1" s="235" t="s">
        <v>52</v>
      </c>
      <c r="H1" s="234" t="s">
        <v>58</v>
      </c>
      <c r="I1" s="234" t="s">
        <v>66</v>
      </c>
      <c r="J1" s="234" t="s">
        <v>308</v>
      </c>
      <c r="K1" s="234" t="s">
        <v>72</v>
      </c>
      <c r="L1" s="234" t="s">
        <v>81</v>
      </c>
      <c r="M1" s="235" t="s">
        <v>88</v>
      </c>
      <c r="N1" s="234" t="s">
        <v>105</v>
      </c>
      <c r="O1" s="234" t="s">
        <v>309</v>
      </c>
      <c r="P1" s="234" t="s">
        <v>113</v>
      </c>
      <c r="Q1" s="234" t="s">
        <v>120</v>
      </c>
      <c r="R1" s="235" t="s">
        <v>127</v>
      </c>
      <c r="S1" s="234" t="s">
        <v>134</v>
      </c>
    </row>
    <row r="2" ht="22.5" customHeight="1">
      <c r="A2" s="236" t="s">
        <v>766</v>
      </c>
      <c r="E2" s="237"/>
      <c r="F2" s="237"/>
      <c r="G2" s="237"/>
      <c r="M2" s="238"/>
      <c r="R2" s="239"/>
    </row>
    <row r="3" ht="22.5" customHeight="1" outlineLevel="1">
      <c r="A3" s="265" t="s">
        <v>767</v>
      </c>
      <c r="B3" s="265">
        <v>8.0</v>
      </c>
      <c r="C3" s="266"/>
      <c r="D3" s="266"/>
      <c r="E3" s="181"/>
      <c r="F3" s="181"/>
      <c r="G3" s="181"/>
      <c r="H3" s="266"/>
      <c r="I3" s="266"/>
      <c r="J3" s="266"/>
      <c r="K3" s="266"/>
      <c r="L3" s="266"/>
      <c r="M3" s="267"/>
      <c r="N3" s="266"/>
      <c r="O3" s="266"/>
      <c r="P3" s="265"/>
      <c r="Q3" s="265"/>
      <c r="R3" s="185"/>
    </row>
    <row r="4" ht="22.5" customHeight="1" outlineLevel="1">
      <c r="A4" s="265" t="s">
        <v>768</v>
      </c>
      <c r="B4" s="266"/>
      <c r="C4" s="266"/>
      <c r="D4" s="265">
        <v>8.0</v>
      </c>
      <c r="E4" s="181"/>
      <c r="F4" s="181"/>
      <c r="G4" s="181"/>
      <c r="H4" s="266"/>
      <c r="I4" s="266"/>
      <c r="J4" s="266"/>
      <c r="K4" s="266"/>
      <c r="L4" s="266"/>
      <c r="M4" s="267"/>
      <c r="N4" s="266"/>
      <c r="O4" s="266"/>
      <c r="P4" s="266"/>
      <c r="Q4" s="266"/>
      <c r="R4" s="185"/>
    </row>
    <row r="5" ht="22.5" customHeight="1" outlineLevel="1">
      <c r="A5" s="265" t="s">
        <v>769</v>
      </c>
      <c r="B5" s="266"/>
      <c r="C5" s="266"/>
      <c r="D5" s="266"/>
      <c r="E5" s="181"/>
      <c r="F5" s="181"/>
      <c r="G5" s="181"/>
      <c r="H5" s="266"/>
      <c r="I5" s="266"/>
      <c r="J5" s="266"/>
      <c r="K5" s="266"/>
      <c r="L5" s="266"/>
      <c r="M5" s="267"/>
      <c r="N5" s="266"/>
      <c r="O5" s="265">
        <v>12.0</v>
      </c>
      <c r="P5" s="266"/>
      <c r="Q5" s="266"/>
      <c r="R5" s="185"/>
    </row>
    <row r="6" ht="22.5" customHeight="1" outlineLevel="1">
      <c r="A6" s="265" t="s">
        <v>313</v>
      </c>
      <c r="B6" s="266"/>
      <c r="C6" s="266"/>
      <c r="D6" s="266"/>
      <c r="E6" s="181"/>
      <c r="F6" s="181"/>
      <c r="G6" s="267">
        <v>0.01</v>
      </c>
      <c r="H6" s="266"/>
      <c r="I6" s="266"/>
      <c r="J6" s="266"/>
      <c r="K6" s="266"/>
      <c r="L6" s="266"/>
      <c r="M6" s="267"/>
      <c r="N6" s="266"/>
      <c r="O6" s="266"/>
      <c r="P6" s="266"/>
      <c r="Q6" s="266"/>
      <c r="R6" s="185"/>
    </row>
    <row r="7" ht="22.5" customHeight="1" outlineLevel="1">
      <c r="A7" s="268" t="s">
        <v>770</v>
      </c>
      <c r="B7" s="257"/>
      <c r="C7" s="257"/>
      <c r="D7" s="257"/>
      <c r="E7" s="258"/>
      <c r="F7" s="258"/>
      <c r="G7" s="258"/>
      <c r="H7" s="257"/>
      <c r="I7" s="257"/>
      <c r="J7" s="269"/>
      <c r="K7" s="257"/>
      <c r="L7" s="257"/>
      <c r="M7" s="258"/>
      <c r="N7" s="257"/>
      <c r="O7" s="270">
        <v>9.0</v>
      </c>
      <c r="P7" s="257"/>
      <c r="Q7" s="257"/>
      <c r="R7" s="271"/>
    </row>
    <row r="8" ht="22.5" customHeight="1" outlineLevel="1">
      <c r="A8" s="265" t="s">
        <v>771</v>
      </c>
      <c r="B8" s="266"/>
      <c r="C8" s="266"/>
      <c r="D8" s="266"/>
      <c r="E8" s="181"/>
      <c r="F8" s="181"/>
      <c r="G8" s="181"/>
      <c r="H8" s="266"/>
      <c r="I8" s="266"/>
      <c r="J8" s="265">
        <v>15.0</v>
      </c>
      <c r="K8" s="266"/>
      <c r="L8" s="266"/>
      <c r="M8" s="267"/>
      <c r="N8" s="266"/>
      <c r="O8" s="265">
        <v>13.0</v>
      </c>
      <c r="P8" s="266"/>
      <c r="Q8" s="266"/>
      <c r="R8" s="185"/>
    </row>
    <row r="9" ht="22.5" customHeight="1">
      <c r="A9" s="272" t="s">
        <v>772</v>
      </c>
      <c r="B9" s="266"/>
      <c r="C9" s="266"/>
      <c r="D9" s="266"/>
      <c r="E9" s="181"/>
      <c r="F9" s="181"/>
      <c r="G9" s="181"/>
      <c r="H9" s="266"/>
      <c r="I9" s="266"/>
      <c r="J9" s="266"/>
      <c r="K9" s="266"/>
      <c r="L9" s="266"/>
      <c r="M9" s="267"/>
      <c r="N9" s="266"/>
      <c r="O9" s="266"/>
      <c r="P9" s="266"/>
      <c r="Q9" s="266"/>
      <c r="R9" s="185"/>
    </row>
    <row r="10" ht="22.5" customHeight="1" outlineLevel="1">
      <c r="A10" s="265" t="s">
        <v>321</v>
      </c>
      <c r="B10" s="266"/>
      <c r="C10" s="265">
        <v>26.0</v>
      </c>
      <c r="D10" s="266"/>
      <c r="E10" s="267">
        <v>0.01</v>
      </c>
      <c r="F10" s="181"/>
      <c r="G10" s="181"/>
      <c r="H10" s="266"/>
      <c r="I10" s="266"/>
      <c r="J10" s="266"/>
      <c r="K10" s="266"/>
      <c r="L10" s="266"/>
      <c r="M10" s="267"/>
      <c r="N10" s="266"/>
      <c r="O10" s="266"/>
      <c r="P10" s="266"/>
      <c r="Q10" s="266"/>
      <c r="R10" s="185"/>
    </row>
    <row r="11" ht="22.5" customHeight="1" outlineLevel="1">
      <c r="A11" s="265" t="s">
        <v>773</v>
      </c>
      <c r="B11" s="266"/>
      <c r="C11" s="266"/>
      <c r="D11" s="266"/>
      <c r="E11" s="181"/>
      <c r="F11" s="181"/>
      <c r="G11" s="181"/>
      <c r="H11" s="266"/>
      <c r="I11" s="266"/>
      <c r="J11" s="266"/>
      <c r="K11" s="266"/>
      <c r="L11" s="266"/>
      <c r="M11" s="267"/>
      <c r="N11" s="266"/>
      <c r="O11" s="265">
        <v>15.0</v>
      </c>
      <c r="P11" s="265"/>
      <c r="Q11" s="265"/>
      <c r="R11" s="273">
        <v>0.01</v>
      </c>
    </row>
    <row r="12" ht="22.5" customHeight="1" outlineLevel="1">
      <c r="A12" s="265" t="s">
        <v>774</v>
      </c>
      <c r="B12" s="266"/>
      <c r="C12" s="266"/>
      <c r="D12" s="266"/>
      <c r="E12" s="181"/>
      <c r="F12" s="181"/>
      <c r="G12" s="267">
        <v>0.02</v>
      </c>
      <c r="H12" s="266"/>
      <c r="I12" s="266"/>
      <c r="J12" s="266"/>
      <c r="K12" s="266"/>
      <c r="L12" s="266"/>
      <c r="M12" s="267"/>
      <c r="N12" s="266"/>
      <c r="O12" s="266"/>
      <c r="P12" s="266"/>
      <c r="Q12" s="266"/>
      <c r="R12" s="185"/>
    </row>
    <row r="13" ht="22.5" customHeight="1" outlineLevel="1">
      <c r="A13" s="265" t="s">
        <v>775</v>
      </c>
      <c r="B13" s="266"/>
      <c r="C13" s="266"/>
      <c r="D13" s="266"/>
      <c r="E13" s="181"/>
      <c r="F13" s="181"/>
      <c r="G13" s="181"/>
      <c r="H13" s="266"/>
      <c r="I13" s="265">
        <v>40.0</v>
      </c>
      <c r="J13" s="266"/>
      <c r="K13" s="266"/>
      <c r="L13" s="266"/>
      <c r="M13" s="267"/>
      <c r="N13" s="266"/>
      <c r="O13" s="266"/>
      <c r="P13" s="266"/>
      <c r="Q13" s="266"/>
      <c r="R13" s="185"/>
    </row>
    <row r="14" ht="22.5" customHeight="1" outlineLevel="1">
      <c r="A14" s="265" t="s">
        <v>776</v>
      </c>
      <c r="B14" s="266"/>
      <c r="C14" s="265">
        <v>33.0</v>
      </c>
      <c r="D14" s="266"/>
      <c r="E14" s="181"/>
      <c r="F14" s="181"/>
      <c r="G14" s="181"/>
      <c r="H14" s="266"/>
      <c r="I14" s="266"/>
      <c r="J14" s="266"/>
      <c r="K14" s="266"/>
      <c r="L14" s="266"/>
      <c r="M14" s="267"/>
      <c r="N14" s="266"/>
      <c r="O14" s="266"/>
      <c r="P14" s="266"/>
      <c r="Q14" s="266"/>
      <c r="R14" s="185"/>
    </row>
    <row r="15" ht="22.5" customHeight="1" outlineLevel="1">
      <c r="A15" s="265" t="s">
        <v>777</v>
      </c>
      <c r="B15" s="266"/>
      <c r="C15" s="266"/>
      <c r="D15" s="266"/>
      <c r="E15" s="181"/>
      <c r="F15" s="181"/>
      <c r="G15" s="181"/>
      <c r="H15" s="266"/>
      <c r="I15" s="266"/>
      <c r="J15" s="266"/>
      <c r="K15" s="266"/>
      <c r="L15" s="266"/>
      <c r="M15" s="267"/>
      <c r="N15" s="266"/>
      <c r="O15" s="265">
        <v>18.0</v>
      </c>
      <c r="P15" s="266"/>
      <c r="Q15" s="266"/>
      <c r="R15" s="185"/>
    </row>
    <row r="16" ht="22.5" customHeight="1">
      <c r="A16" s="236" t="s">
        <v>323</v>
      </c>
      <c r="R16" s="239"/>
    </row>
    <row r="17" ht="22.5" customHeight="1" outlineLevel="1">
      <c r="A17" s="240" t="s">
        <v>778</v>
      </c>
      <c r="R17" s="239"/>
    </row>
    <row r="18" ht="22.5" customHeight="1" outlineLevel="1">
      <c r="A18" s="240" t="s">
        <v>325</v>
      </c>
      <c r="R18" s="239"/>
    </row>
    <row r="19" ht="22.5" customHeight="1">
      <c r="A19" s="236" t="s">
        <v>326</v>
      </c>
      <c r="E19" s="237"/>
      <c r="F19" s="237"/>
      <c r="G19" s="237"/>
      <c r="M19" s="237"/>
      <c r="R19" s="239"/>
    </row>
    <row r="20" ht="22.5" customHeight="1" outlineLevel="1">
      <c r="A20" s="265" t="s">
        <v>328</v>
      </c>
      <c r="B20" s="265">
        <v>4.0</v>
      </c>
      <c r="C20" s="266"/>
      <c r="D20" s="265">
        <v>4.0</v>
      </c>
      <c r="E20" s="181"/>
      <c r="F20" s="181"/>
      <c r="G20" s="181"/>
      <c r="H20" s="266"/>
      <c r="I20" s="266"/>
      <c r="J20" s="265">
        <v>4.0</v>
      </c>
      <c r="K20" s="266"/>
      <c r="L20" s="265">
        <v>4.0</v>
      </c>
      <c r="M20" s="267"/>
      <c r="N20" s="266"/>
      <c r="O20" s="266"/>
      <c r="P20" s="266"/>
      <c r="Q20" s="266"/>
      <c r="R20" s="185"/>
    </row>
    <row r="21" ht="22.5" customHeight="1" outlineLevel="1">
      <c r="A21" s="265" t="s">
        <v>779</v>
      </c>
      <c r="B21" s="265">
        <v>3.0</v>
      </c>
      <c r="C21" s="266"/>
      <c r="D21" s="265">
        <v>3.0</v>
      </c>
      <c r="E21" s="181"/>
      <c r="F21" s="181"/>
      <c r="G21" s="181"/>
      <c r="H21" s="266"/>
      <c r="I21" s="266"/>
      <c r="J21" s="265">
        <v>3.0</v>
      </c>
      <c r="K21" s="266"/>
      <c r="L21" s="265">
        <v>3.0</v>
      </c>
      <c r="M21" s="267"/>
      <c r="N21" s="266"/>
      <c r="O21" s="266"/>
      <c r="P21" s="266"/>
      <c r="Q21" s="266"/>
      <c r="R21" s="185"/>
    </row>
    <row r="22" ht="22.5" customHeight="1" outlineLevel="1">
      <c r="A22" s="265" t="s">
        <v>770</v>
      </c>
      <c r="B22" s="266"/>
      <c r="C22" s="266"/>
      <c r="D22" s="266"/>
      <c r="E22" s="181"/>
      <c r="F22" s="181"/>
      <c r="G22" s="181"/>
      <c r="H22" s="266"/>
      <c r="I22" s="266"/>
      <c r="J22" s="266"/>
      <c r="K22" s="266"/>
      <c r="L22" s="266"/>
      <c r="M22" s="267"/>
      <c r="N22" s="266"/>
      <c r="O22" s="265">
        <v>9.0</v>
      </c>
      <c r="P22" s="266"/>
      <c r="Q22" s="266"/>
      <c r="R22" s="185"/>
    </row>
    <row r="23" ht="22.5" customHeight="1">
      <c r="A23" s="272" t="s">
        <v>780</v>
      </c>
      <c r="B23" s="266"/>
      <c r="C23" s="266"/>
      <c r="D23" s="266"/>
      <c r="E23" s="181"/>
      <c r="F23" s="181"/>
      <c r="G23" s="181"/>
      <c r="H23" s="266"/>
      <c r="I23" s="266"/>
      <c r="J23" s="266"/>
      <c r="K23" s="266"/>
      <c r="L23" s="266"/>
      <c r="M23" s="267"/>
      <c r="N23" s="266"/>
      <c r="O23" s="266"/>
      <c r="P23" s="266"/>
      <c r="Q23" s="266"/>
      <c r="R23" s="185"/>
    </row>
    <row r="24" ht="22.5" customHeight="1" outlineLevel="1">
      <c r="A24" s="265" t="s">
        <v>331</v>
      </c>
      <c r="B24" s="265">
        <v>9.0</v>
      </c>
      <c r="C24" s="266"/>
      <c r="D24" s="266"/>
      <c r="E24" s="181"/>
      <c r="F24" s="181"/>
      <c r="G24" s="181"/>
      <c r="H24" s="266"/>
      <c r="I24" s="266"/>
      <c r="J24" s="266"/>
      <c r="K24" s="266"/>
      <c r="L24" s="266"/>
      <c r="M24" s="267"/>
      <c r="N24" s="266"/>
      <c r="O24" s="266"/>
      <c r="P24" s="266"/>
      <c r="Q24" s="266"/>
      <c r="R24" s="185"/>
    </row>
    <row r="25" ht="22.5" customHeight="1" outlineLevel="1">
      <c r="A25" s="265" t="s">
        <v>781</v>
      </c>
      <c r="B25" s="265">
        <v>7.0</v>
      </c>
      <c r="C25" s="266"/>
      <c r="D25" s="266"/>
      <c r="E25" s="181"/>
      <c r="F25" s="181"/>
      <c r="G25" s="181"/>
      <c r="H25" s="266"/>
      <c r="I25" s="266"/>
      <c r="J25" s="266"/>
      <c r="K25" s="266"/>
      <c r="L25" s="266"/>
      <c r="M25" s="267"/>
      <c r="N25" s="266"/>
      <c r="O25" s="266"/>
      <c r="P25" s="266"/>
      <c r="Q25" s="266"/>
      <c r="R25" s="185"/>
    </row>
    <row r="26" ht="22.5" customHeight="1" outlineLevel="1">
      <c r="A26" s="265" t="s">
        <v>782</v>
      </c>
      <c r="B26" s="266"/>
      <c r="C26" s="266"/>
      <c r="D26" s="265">
        <v>7.0</v>
      </c>
      <c r="E26" s="181"/>
      <c r="F26" s="181"/>
      <c r="G26" s="181"/>
      <c r="H26" s="266"/>
      <c r="I26" s="266"/>
      <c r="J26" s="266"/>
      <c r="K26" s="266"/>
      <c r="L26" s="266"/>
      <c r="M26" s="267"/>
      <c r="N26" s="266"/>
      <c r="O26" s="266"/>
      <c r="P26" s="266"/>
      <c r="Q26" s="266"/>
      <c r="R26" s="185"/>
    </row>
    <row r="27" ht="22.5" customHeight="1" outlineLevel="1">
      <c r="A27" s="265" t="s">
        <v>783</v>
      </c>
      <c r="B27" s="266"/>
      <c r="C27" s="266"/>
      <c r="D27" s="266"/>
      <c r="E27" s="181"/>
      <c r="F27" s="181"/>
      <c r="G27" s="181"/>
      <c r="H27" s="266"/>
      <c r="I27" s="266"/>
      <c r="J27" s="266"/>
      <c r="K27" s="266"/>
      <c r="L27" s="266"/>
      <c r="M27" s="267"/>
      <c r="N27" s="266"/>
      <c r="O27" s="265">
        <v>12.0</v>
      </c>
      <c r="P27" s="266"/>
      <c r="Q27" s="266"/>
      <c r="R27" s="185"/>
    </row>
    <row r="28" ht="22.5" customHeight="1">
      <c r="A28" s="272" t="s">
        <v>332</v>
      </c>
      <c r="B28" s="266"/>
      <c r="C28" s="266"/>
      <c r="D28" s="266"/>
      <c r="E28" s="181"/>
      <c r="F28" s="181"/>
      <c r="G28" s="181"/>
      <c r="H28" s="266"/>
      <c r="I28" s="266"/>
      <c r="J28" s="266"/>
      <c r="K28" s="266"/>
      <c r="L28" s="266"/>
      <c r="M28" s="267"/>
      <c r="N28" s="266"/>
      <c r="O28" s="266"/>
      <c r="P28" s="266"/>
      <c r="Q28" s="266"/>
      <c r="R28" s="185"/>
    </row>
    <row r="29" ht="22.5" customHeight="1" outlineLevel="1">
      <c r="A29" s="265" t="s">
        <v>784</v>
      </c>
      <c r="B29" s="265">
        <v>9.0</v>
      </c>
      <c r="C29" s="266"/>
      <c r="D29" s="266"/>
      <c r="E29" s="181"/>
      <c r="F29" s="181"/>
      <c r="G29" s="181"/>
      <c r="H29" s="266"/>
      <c r="I29" s="266"/>
      <c r="J29" s="266"/>
      <c r="K29" s="266"/>
      <c r="L29" s="266"/>
      <c r="M29" s="267"/>
      <c r="N29" s="266"/>
      <c r="O29" s="266"/>
      <c r="P29" s="266"/>
      <c r="Q29" s="266"/>
      <c r="R29" s="185"/>
    </row>
    <row r="30" ht="22.5" customHeight="1" outlineLevel="1">
      <c r="A30" s="265" t="s">
        <v>334</v>
      </c>
      <c r="B30" s="266"/>
      <c r="C30" s="266"/>
      <c r="D30" s="265">
        <v>15.0</v>
      </c>
      <c r="E30" s="181"/>
      <c r="F30" s="181"/>
      <c r="G30" s="181"/>
      <c r="H30" s="266"/>
      <c r="I30" s="266"/>
      <c r="J30" s="266"/>
      <c r="K30" s="266"/>
      <c r="L30" s="266"/>
      <c r="M30" s="267"/>
      <c r="N30" s="266"/>
      <c r="O30" s="266"/>
      <c r="P30" s="266"/>
      <c r="Q30" s="266"/>
      <c r="R30" s="185"/>
    </row>
    <row r="31" ht="22.5" customHeight="1" outlineLevel="1">
      <c r="A31" s="265" t="s">
        <v>785</v>
      </c>
      <c r="B31" s="266"/>
      <c r="C31" s="266"/>
      <c r="D31" s="266"/>
      <c r="E31" s="181"/>
      <c r="F31" s="181"/>
      <c r="G31" s="267"/>
      <c r="H31" s="266"/>
      <c r="I31" s="266"/>
      <c r="J31" s="266"/>
      <c r="K31" s="266"/>
      <c r="L31" s="266"/>
      <c r="M31" s="267"/>
      <c r="N31" s="266"/>
      <c r="O31" s="266"/>
      <c r="P31" s="265">
        <v>20.0</v>
      </c>
      <c r="Q31" s="266"/>
      <c r="R31" s="185"/>
    </row>
    <row r="32" ht="22.5" customHeight="1" outlineLevel="1">
      <c r="A32" s="265" t="s">
        <v>786</v>
      </c>
      <c r="B32" s="266"/>
      <c r="C32" s="266"/>
      <c r="D32" s="266"/>
      <c r="E32" s="181"/>
      <c r="F32" s="181"/>
      <c r="G32" s="267"/>
      <c r="H32" s="266"/>
      <c r="I32" s="266"/>
      <c r="J32" s="266"/>
      <c r="K32" s="266"/>
      <c r="L32" s="266"/>
      <c r="M32" s="267"/>
      <c r="N32" s="266"/>
      <c r="O32" s="266"/>
      <c r="P32" s="266"/>
      <c r="Q32" s="265">
        <v>20.0</v>
      </c>
      <c r="R32" s="185"/>
    </row>
    <row r="33" ht="22.5" customHeight="1" outlineLevel="1">
      <c r="A33" s="265" t="s">
        <v>787</v>
      </c>
      <c r="B33" s="266"/>
      <c r="C33" s="266"/>
      <c r="D33" s="266"/>
      <c r="E33" s="181"/>
      <c r="F33" s="181"/>
      <c r="G33" s="267">
        <v>0.01</v>
      </c>
      <c r="H33" s="266"/>
      <c r="I33" s="266"/>
      <c r="J33" s="266"/>
      <c r="K33" s="266"/>
      <c r="L33" s="266"/>
      <c r="M33" s="267"/>
      <c r="N33" s="266"/>
      <c r="O33" s="266"/>
      <c r="P33" s="266"/>
      <c r="Q33" s="266"/>
      <c r="R33" s="185"/>
    </row>
    <row r="34" ht="22.5" customHeight="1">
      <c r="A34" s="272" t="s">
        <v>335</v>
      </c>
      <c r="B34" s="266"/>
      <c r="C34" s="266"/>
      <c r="D34" s="266"/>
      <c r="E34" s="181"/>
      <c r="F34" s="181"/>
      <c r="G34" s="181"/>
      <c r="H34" s="266"/>
      <c r="I34" s="266"/>
      <c r="J34" s="266"/>
      <c r="K34" s="266"/>
      <c r="L34" s="266"/>
      <c r="M34" s="267"/>
      <c r="N34" s="266"/>
      <c r="O34" s="266"/>
      <c r="P34" s="266"/>
      <c r="Q34" s="266"/>
      <c r="R34" s="185"/>
    </row>
    <row r="35" ht="22.5" customHeight="1" outlineLevel="1">
      <c r="A35" s="265" t="s">
        <v>337</v>
      </c>
      <c r="B35" s="265">
        <v>10.0</v>
      </c>
      <c r="C35" s="266"/>
      <c r="D35" s="266"/>
      <c r="E35" s="181"/>
      <c r="F35" s="181"/>
      <c r="G35" s="181"/>
      <c r="H35" s="266"/>
      <c r="I35" s="266"/>
      <c r="J35" s="266"/>
      <c r="K35" s="266"/>
      <c r="L35" s="266"/>
      <c r="M35" s="267"/>
      <c r="N35" s="266"/>
      <c r="O35" s="266"/>
      <c r="P35" s="266"/>
      <c r="Q35" s="266"/>
      <c r="R35" s="185"/>
    </row>
    <row r="36" ht="22.5" customHeight="1" outlineLevel="1">
      <c r="A36" s="265" t="s">
        <v>788</v>
      </c>
      <c r="B36" s="266"/>
      <c r="C36" s="266"/>
      <c r="D36" s="266"/>
      <c r="E36" s="181"/>
      <c r="F36" s="181"/>
      <c r="G36" s="181"/>
      <c r="H36" s="266"/>
      <c r="I36" s="266"/>
      <c r="J36" s="265">
        <v>10.0</v>
      </c>
      <c r="K36" s="266"/>
      <c r="L36" s="266"/>
      <c r="M36" s="267"/>
      <c r="N36" s="266"/>
      <c r="O36" s="266"/>
      <c r="P36" s="266"/>
      <c r="Q36" s="266"/>
      <c r="R36" s="185"/>
    </row>
    <row r="37" ht="22.5" customHeight="1" outlineLevel="1">
      <c r="A37" s="265" t="s">
        <v>789</v>
      </c>
      <c r="B37" s="266"/>
      <c r="C37" s="266"/>
      <c r="D37" s="266"/>
      <c r="E37" s="181"/>
      <c r="F37" s="181"/>
      <c r="G37" s="181"/>
      <c r="H37" s="266"/>
      <c r="I37" s="266"/>
      <c r="J37" s="266"/>
      <c r="K37" s="266"/>
      <c r="L37" s="266"/>
      <c r="M37" s="267"/>
      <c r="N37" s="266"/>
      <c r="O37" s="266"/>
      <c r="P37" s="266"/>
      <c r="Q37" s="265">
        <v>9.0</v>
      </c>
      <c r="R37" s="185"/>
    </row>
    <row r="38" ht="22.5" customHeight="1" outlineLevel="1">
      <c r="A38" s="265" t="s">
        <v>790</v>
      </c>
      <c r="B38" s="266"/>
      <c r="C38" s="266"/>
      <c r="D38" s="265">
        <v>6.0</v>
      </c>
      <c r="E38" s="181"/>
      <c r="F38" s="181"/>
      <c r="G38" s="181"/>
      <c r="H38" s="266"/>
      <c r="I38" s="266"/>
      <c r="J38" s="266"/>
      <c r="K38" s="266"/>
      <c r="L38" s="266"/>
      <c r="M38" s="267"/>
      <c r="N38" s="266"/>
      <c r="O38" s="266"/>
      <c r="P38" s="266"/>
      <c r="Q38" s="266"/>
      <c r="R38" s="185"/>
    </row>
    <row r="39" ht="22.5" customHeight="1">
      <c r="A39" s="272" t="s">
        <v>340</v>
      </c>
      <c r="B39" s="266"/>
      <c r="C39" s="266"/>
      <c r="D39" s="266"/>
      <c r="E39" s="181"/>
      <c r="F39" s="181"/>
      <c r="G39" s="181"/>
      <c r="H39" s="266"/>
      <c r="I39" s="266"/>
      <c r="J39" s="266"/>
      <c r="K39" s="266"/>
      <c r="L39" s="266"/>
      <c r="M39" s="267"/>
      <c r="N39" s="266"/>
      <c r="O39" s="266"/>
      <c r="P39" s="266"/>
      <c r="Q39" s="266"/>
      <c r="R39" s="185"/>
    </row>
    <row r="40" ht="22.5" customHeight="1" outlineLevel="1">
      <c r="A40" s="265" t="s">
        <v>342</v>
      </c>
      <c r="B40" s="266"/>
      <c r="C40" s="266"/>
      <c r="D40" s="265">
        <v>7.0</v>
      </c>
      <c r="E40" s="181"/>
      <c r="F40" s="181"/>
      <c r="G40" s="181"/>
      <c r="H40" s="266"/>
      <c r="I40" s="266"/>
      <c r="J40" s="266"/>
      <c r="K40" s="266"/>
      <c r="L40" s="266"/>
      <c r="M40" s="267"/>
      <c r="N40" s="266"/>
      <c r="O40" s="266"/>
      <c r="P40" s="266"/>
      <c r="Q40" s="266"/>
      <c r="R40" s="185"/>
    </row>
    <row r="41" ht="22.5" customHeight="1" outlineLevel="1">
      <c r="A41" s="265" t="s">
        <v>770</v>
      </c>
      <c r="B41" s="266"/>
      <c r="C41" s="266"/>
      <c r="D41" s="266"/>
      <c r="E41" s="181"/>
      <c r="F41" s="181"/>
      <c r="G41" s="181"/>
      <c r="H41" s="266"/>
      <c r="I41" s="266"/>
      <c r="J41" s="266"/>
      <c r="K41" s="266"/>
      <c r="L41" s="266"/>
      <c r="M41" s="267"/>
      <c r="N41" s="266"/>
      <c r="O41" s="266"/>
      <c r="P41" s="266"/>
      <c r="Q41" s="266"/>
      <c r="R41" s="185"/>
    </row>
    <row r="42" ht="22.5" customHeight="1">
      <c r="A42" s="272" t="s">
        <v>791</v>
      </c>
      <c r="B42" s="266"/>
      <c r="C42" s="266"/>
      <c r="D42" s="266"/>
      <c r="E42" s="181"/>
      <c r="F42" s="181"/>
      <c r="G42" s="181"/>
      <c r="H42" s="266"/>
      <c r="I42" s="266"/>
      <c r="J42" s="266"/>
      <c r="K42" s="266"/>
      <c r="L42" s="266"/>
      <c r="M42" s="267"/>
      <c r="N42" s="266"/>
      <c r="O42" s="266"/>
      <c r="P42" s="266"/>
      <c r="Q42" s="266"/>
      <c r="R42" s="185"/>
    </row>
    <row r="43" ht="22.5" customHeight="1" outlineLevel="1">
      <c r="A43" s="265" t="s">
        <v>792</v>
      </c>
      <c r="B43" s="265">
        <v>3.0</v>
      </c>
      <c r="C43" s="266"/>
      <c r="D43" s="265">
        <v>3.0</v>
      </c>
      <c r="E43" s="181"/>
      <c r="F43" s="181"/>
      <c r="G43" s="181"/>
      <c r="H43" s="266"/>
      <c r="I43" s="266"/>
      <c r="J43" s="265">
        <v>3.0</v>
      </c>
      <c r="K43" s="266"/>
      <c r="L43" s="265">
        <v>3.0</v>
      </c>
      <c r="M43" s="267"/>
      <c r="N43" s="266"/>
      <c r="O43" s="266"/>
      <c r="P43" s="266"/>
      <c r="Q43" s="266"/>
      <c r="R43" s="185"/>
    </row>
    <row r="44" ht="22.5" customHeight="1" outlineLevel="1">
      <c r="A44" s="265" t="s">
        <v>793</v>
      </c>
      <c r="B44" s="265">
        <v>6.0</v>
      </c>
      <c r="C44" s="266"/>
      <c r="D44" s="266"/>
      <c r="E44" s="181"/>
      <c r="F44" s="181"/>
      <c r="G44" s="181"/>
      <c r="H44" s="266"/>
      <c r="I44" s="266"/>
      <c r="J44" s="266"/>
      <c r="K44" s="266"/>
      <c r="L44" s="266"/>
      <c r="M44" s="267"/>
      <c r="N44" s="266"/>
      <c r="O44" s="266"/>
      <c r="P44" s="266"/>
      <c r="Q44" s="266"/>
      <c r="R44" s="185"/>
    </row>
    <row r="45" ht="22.5" customHeight="1" outlineLevel="1">
      <c r="A45" s="265" t="s">
        <v>317</v>
      </c>
      <c r="B45" s="266"/>
      <c r="C45" s="266"/>
      <c r="D45" s="265">
        <v>6.0</v>
      </c>
      <c r="E45" s="181"/>
      <c r="F45" s="181"/>
      <c r="G45" s="181"/>
      <c r="H45" s="266"/>
      <c r="I45" s="266"/>
      <c r="J45" s="266"/>
      <c r="K45" s="266"/>
      <c r="L45" s="266"/>
      <c r="M45" s="267"/>
      <c r="N45" s="266"/>
      <c r="O45" s="266"/>
      <c r="P45" s="266"/>
      <c r="Q45" s="266"/>
      <c r="R45" s="185"/>
    </row>
    <row r="46" ht="22.5" customHeight="1">
      <c r="A46" s="272" t="s">
        <v>351</v>
      </c>
      <c r="B46" s="266"/>
      <c r="C46" s="266"/>
      <c r="D46" s="266"/>
      <c r="E46" s="181"/>
      <c r="F46" s="181"/>
      <c r="G46" s="181"/>
      <c r="H46" s="266"/>
      <c r="I46" s="266"/>
      <c r="J46" s="266"/>
      <c r="K46" s="266"/>
      <c r="L46" s="266"/>
      <c r="M46" s="267"/>
      <c r="N46" s="266"/>
      <c r="O46" s="266"/>
      <c r="P46" s="266"/>
      <c r="Q46" s="266"/>
      <c r="R46" s="185"/>
    </row>
    <row r="47" ht="22.5" customHeight="1" outlineLevel="1">
      <c r="A47" s="265" t="s">
        <v>353</v>
      </c>
      <c r="B47" s="266"/>
      <c r="C47" s="266"/>
      <c r="D47" s="266"/>
      <c r="E47" s="181"/>
      <c r="F47" s="181"/>
      <c r="G47" s="181"/>
      <c r="H47" s="266"/>
      <c r="I47" s="266"/>
      <c r="J47" s="266"/>
      <c r="K47" s="266"/>
      <c r="L47" s="266"/>
      <c r="M47" s="267"/>
      <c r="N47" s="266"/>
      <c r="O47" s="266"/>
      <c r="P47" s="266"/>
      <c r="Q47" s="266"/>
      <c r="R47" s="185"/>
    </row>
    <row r="48" ht="22.5" customHeight="1" outlineLevel="1">
      <c r="A48" s="265" t="s">
        <v>794</v>
      </c>
      <c r="B48" s="266"/>
      <c r="C48" s="266"/>
      <c r="D48" s="266"/>
      <c r="E48" s="181"/>
      <c r="F48" s="181"/>
      <c r="G48" s="181"/>
      <c r="H48" s="266"/>
      <c r="I48" s="266"/>
      <c r="J48" s="266"/>
      <c r="K48" s="266"/>
      <c r="L48" s="266"/>
      <c r="M48" s="267"/>
      <c r="N48" s="266"/>
      <c r="O48" s="265">
        <v>30.0</v>
      </c>
      <c r="P48" s="266"/>
      <c r="Q48" s="266"/>
      <c r="R48" s="185"/>
    </row>
    <row r="49" ht="22.5" customHeight="1" outlineLevel="1">
      <c r="A49" s="265" t="s">
        <v>795</v>
      </c>
      <c r="B49" s="266"/>
      <c r="C49" s="266"/>
      <c r="D49" s="265">
        <v>25.0</v>
      </c>
      <c r="E49" s="181"/>
      <c r="F49" s="181"/>
      <c r="G49" s="181"/>
      <c r="H49" s="266"/>
      <c r="I49" s="266"/>
      <c r="J49" s="266"/>
      <c r="K49" s="266"/>
      <c r="L49" s="266"/>
      <c r="M49" s="267"/>
      <c r="N49" s="266"/>
      <c r="O49" s="266"/>
      <c r="P49" s="266"/>
      <c r="Q49" s="266"/>
      <c r="R49" s="185"/>
    </row>
    <row r="50" ht="22.5" customHeight="1" outlineLevel="1">
      <c r="A50" s="265" t="s">
        <v>796</v>
      </c>
      <c r="B50" s="266"/>
      <c r="C50" s="266"/>
      <c r="D50" s="265">
        <v>15.0</v>
      </c>
      <c r="E50" s="181"/>
      <c r="F50" s="181"/>
      <c r="G50" s="181"/>
      <c r="H50" s="266"/>
      <c r="I50" s="266"/>
      <c r="J50" s="266"/>
      <c r="K50" s="266"/>
      <c r="L50" s="266"/>
      <c r="M50" s="267"/>
      <c r="N50" s="266"/>
      <c r="O50" s="266"/>
      <c r="P50" s="266"/>
      <c r="Q50" s="266"/>
      <c r="R50" s="185"/>
    </row>
    <row r="51" ht="22.5" customHeight="1" outlineLevel="1">
      <c r="A51" s="265" t="s">
        <v>797</v>
      </c>
      <c r="B51" s="265">
        <v>15.0</v>
      </c>
      <c r="C51" s="266"/>
      <c r="D51" s="266"/>
      <c r="E51" s="181"/>
      <c r="F51" s="181"/>
      <c r="G51" s="181"/>
      <c r="H51" s="266"/>
      <c r="I51" s="266"/>
      <c r="J51" s="266"/>
      <c r="K51" s="266"/>
      <c r="L51" s="266"/>
      <c r="M51" s="267"/>
      <c r="N51" s="266"/>
      <c r="O51" s="266"/>
      <c r="P51" s="266"/>
      <c r="Q51" s="266"/>
      <c r="R51" s="185"/>
    </row>
    <row r="52" ht="22.5" customHeight="1">
      <c r="A52" s="265"/>
      <c r="B52" s="266"/>
      <c r="C52" s="266"/>
      <c r="D52" s="266"/>
      <c r="E52" s="181"/>
      <c r="F52" s="181"/>
      <c r="G52" s="181"/>
      <c r="H52" s="266"/>
      <c r="I52" s="266"/>
      <c r="J52" s="266"/>
      <c r="K52" s="266"/>
      <c r="L52" s="266"/>
      <c r="M52" s="267"/>
      <c r="N52" s="266"/>
      <c r="O52" s="266"/>
      <c r="P52" s="266"/>
      <c r="Q52" s="266"/>
      <c r="R52" s="185"/>
    </row>
    <row r="53" ht="22.5" customHeight="1">
      <c r="A53" s="265"/>
      <c r="B53" s="266"/>
      <c r="C53" s="266"/>
      <c r="D53" s="266"/>
      <c r="E53" s="181"/>
      <c r="F53" s="181"/>
      <c r="G53" s="181"/>
      <c r="H53" s="266"/>
      <c r="I53" s="266"/>
      <c r="J53" s="266"/>
      <c r="K53" s="266"/>
      <c r="L53" s="266"/>
      <c r="M53" s="267"/>
      <c r="N53" s="266"/>
      <c r="O53" s="266"/>
      <c r="P53" s="266"/>
      <c r="Q53" s="266"/>
      <c r="R53" s="185"/>
    </row>
    <row r="54" ht="22.5" customHeight="1">
      <c r="A54" s="265"/>
      <c r="B54" s="266"/>
      <c r="C54" s="266"/>
      <c r="D54" s="266"/>
      <c r="E54" s="181"/>
      <c r="F54" s="181"/>
      <c r="G54" s="181"/>
      <c r="H54" s="266"/>
      <c r="I54" s="266"/>
      <c r="J54" s="266"/>
      <c r="K54" s="266"/>
      <c r="L54" s="266"/>
      <c r="M54" s="267"/>
      <c r="N54" s="266"/>
      <c r="O54" s="266"/>
      <c r="P54" s="266"/>
      <c r="Q54" s="266"/>
      <c r="R54" s="185"/>
    </row>
    <row r="55" ht="22.5" customHeight="1">
      <c r="A55" s="265"/>
      <c r="B55" s="266"/>
      <c r="C55" s="266"/>
      <c r="D55" s="266"/>
      <c r="E55" s="181"/>
      <c r="F55" s="181"/>
      <c r="G55" s="181"/>
      <c r="H55" s="266"/>
      <c r="I55" s="266"/>
      <c r="J55" s="266"/>
      <c r="K55" s="266"/>
      <c r="L55" s="266"/>
      <c r="M55" s="267"/>
      <c r="N55" s="266"/>
      <c r="O55" s="266"/>
      <c r="P55" s="266"/>
      <c r="Q55" s="266"/>
      <c r="R55" s="185"/>
    </row>
    <row r="56" ht="22.5" customHeight="1">
      <c r="A56" s="265"/>
      <c r="B56" s="266"/>
      <c r="C56" s="266"/>
      <c r="D56" s="266"/>
      <c r="E56" s="181"/>
      <c r="F56" s="181"/>
      <c r="G56" s="181"/>
      <c r="H56" s="266"/>
      <c r="I56" s="266"/>
      <c r="J56" s="266"/>
      <c r="K56" s="266"/>
      <c r="L56" s="266"/>
      <c r="M56" s="267"/>
      <c r="N56" s="266"/>
      <c r="O56" s="266"/>
      <c r="P56" s="266"/>
      <c r="Q56" s="266"/>
      <c r="R56" s="185"/>
    </row>
    <row r="57" ht="22.5" customHeight="1">
      <c r="A57" s="265"/>
      <c r="B57" s="266"/>
      <c r="C57" s="266"/>
      <c r="D57" s="266"/>
      <c r="E57" s="181"/>
      <c r="F57" s="181"/>
      <c r="G57" s="181"/>
      <c r="H57" s="266"/>
      <c r="I57" s="266"/>
      <c r="J57" s="266"/>
      <c r="K57" s="266"/>
      <c r="L57" s="266"/>
      <c r="M57" s="267"/>
      <c r="N57" s="266"/>
      <c r="O57" s="266"/>
      <c r="P57" s="266"/>
      <c r="Q57" s="266"/>
      <c r="R57" s="185"/>
    </row>
    <row r="58" ht="22.5" customHeight="1">
      <c r="A58" s="265"/>
      <c r="B58" s="266"/>
      <c r="C58" s="266"/>
      <c r="D58" s="266"/>
      <c r="E58" s="181"/>
      <c r="F58" s="181"/>
      <c r="G58" s="181"/>
      <c r="H58" s="266"/>
      <c r="I58" s="266"/>
      <c r="J58" s="266"/>
      <c r="K58" s="266"/>
      <c r="L58" s="266"/>
      <c r="M58" s="267"/>
      <c r="N58" s="266"/>
      <c r="O58" s="266"/>
      <c r="P58" s="266"/>
      <c r="Q58" s="266"/>
      <c r="R58" s="185"/>
    </row>
    <row r="59" ht="22.5" customHeight="1">
      <c r="A59" s="265"/>
      <c r="B59" s="266"/>
      <c r="C59" s="266"/>
      <c r="D59" s="266"/>
      <c r="E59" s="181"/>
      <c r="F59" s="181"/>
      <c r="G59" s="181"/>
      <c r="H59" s="266"/>
      <c r="I59" s="266"/>
      <c r="J59" s="266"/>
      <c r="K59" s="266"/>
      <c r="L59" s="266"/>
      <c r="M59" s="267"/>
      <c r="N59" s="266"/>
      <c r="O59" s="266"/>
      <c r="P59" s="266"/>
      <c r="Q59" s="266"/>
      <c r="R59" s="185"/>
    </row>
    <row r="60" ht="22.5" customHeight="1">
      <c r="A60" s="265"/>
      <c r="B60" s="266"/>
      <c r="C60" s="266"/>
      <c r="D60" s="266"/>
      <c r="E60" s="181"/>
      <c r="F60" s="181"/>
      <c r="G60" s="181"/>
      <c r="H60" s="266"/>
      <c r="I60" s="266"/>
      <c r="J60" s="266"/>
      <c r="K60" s="266"/>
      <c r="L60" s="266"/>
      <c r="M60" s="267"/>
      <c r="N60" s="266"/>
      <c r="O60" s="266"/>
      <c r="P60" s="266"/>
      <c r="Q60" s="266"/>
      <c r="R60" s="185"/>
    </row>
    <row r="61" ht="22.5" customHeight="1">
      <c r="A61" s="265"/>
      <c r="B61" s="266"/>
      <c r="C61" s="266"/>
      <c r="D61" s="266"/>
      <c r="E61" s="181"/>
      <c r="F61" s="181"/>
      <c r="G61" s="181"/>
      <c r="H61" s="266"/>
      <c r="I61" s="266"/>
      <c r="J61" s="266"/>
      <c r="K61" s="266"/>
      <c r="L61" s="266"/>
      <c r="M61" s="267"/>
      <c r="N61" s="266"/>
      <c r="O61" s="266"/>
      <c r="P61" s="266"/>
      <c r="Q61" s="266"/>
      <c r="R61" s="185"/>
    </row>
    <row r="62" ht="22.5" customHeight="1">
      <c r="A62" s="265"/>
      <c r="B62" s="266"/>
      <c r="C62" s="266"/>
      <c r="D62" s="266"/>
      <c r="E62" s="181"/>
      <c r="F62" s="181"/>
      <c r="G62" s="181"/>
      <c r="H62" s="266"/>
      <c r="I62" s="266"/>
      <c r="J62" s="266"/>
      <c r="K62" s="266"/>
      <c r="L62" s="266"/>
      <c r="M62" s="267"/>
      <c r="N62" s="266"/>
      <c r="O62" s="266"/>
      <c r="P62" s="266"/>
      <c r="Q62" s="266"/>
      <c r="R62" s="185"/>
    </row>
    <row r="63" ht="22.5" customHeight="1">
      <c r="A63" s="265"/>
      <c r="B63" s="266"/>
      <c r="C63" s="266"/>
      <c r="D63" s="266"/>
      <c r="E63" s="181"/>
      <c r="F63" s="181"/>
      <c r="G63" s="181"/>
      <c r="H63" s="266"/>
      <c r="I63" s="266"/>
      <c r="J63" s="266"/>
      <c r="K63" s="266"/>
      <c r="L63" s="266"/>
      <c r="M63" s="267"/>
      <c r="N63" s="266"/>
      <c r="O63" s="266"/>
      <c r="P63" s="266"/>
      <c r="Q63" s="266"/>
      <c r="R63" s="185"/>
    </row>
    <row r="64" ht="22.5" customHeight="1">
      <c r="A64" s="265"/>
      <c r="B64" s="266"/>
      <c r="C64" s="266"/>
      <c r="D64" s="266"/>
      <c r="E64" s="181"/>
      <c r="F64" s="181"/>
      <c r="G64" s="181"/>
      <c r="H64" s="266"/>
      <c r="I64" s="266"/>
      <c r="J64" s="266"/>
      <c r="K64" s="266"/>
      <c r="L64" s="266"/>
      <c r="M64" s="267"/>
      <c r="N64" s="266"/>
      <c r="O64" s="266"/>
      <c r="P64" s="266"/>
      <c r="Q64" s="266"/>
      <c r="R64" s="185"/>
    </row>
    <row r="65" ht="22.5" customHeight="1">
      <c r="A65" s="265"/>
      <c r="B65" s="266"/>
      <c r="C65" s="266"/>
      <c r="D65" s="266"/>
      <c r="E65" s="181"/>
      <c r="F65" s="181"/>
      <c r="G65" s="181"/>
      <c r="H65" s="266"/>
      <c r="I65" s="266"/>
      <c r="J65" s="266"/>
      <c r="K65" s="266"/>
      <c r="L65" s="266"/>
      <c r="M65" s="267"/>
      <c r="N65" s="266"/>
      <c r="O65" s="266"/>
      <c r="P65" s="266"/>
      <c r="Q65" s="266"/>
      <c r="R65" s="185"/>
    </row>
    <row r="66" ht="22.5" customHeight="1">
      <c r="A66" s="265"/>
      <c r="B66" s="266"/>
      <c r="C66" s="266"/>
      <c r="D66" s="266"/>
      <c r="E66" s="181"/>
      <c r="F66" s="181"/>
      <c r="G66" s="181"/>
      <c r="H66" s="266"/>
      <c r="I66" s="266"/>
      <c r="J66" s="266"/>
      <c r="K66" s="266"/>
      <c r="L66" s="266"/>
      <c r="M66" s="267"/>
      <c r="N66" s="266"/>
      <c r="O66" s="266"/>
      <c r="P66" s="266"/>
      <c r="Q66" s="266"/>
      <c r="R66" s="185"/>
    </row>
    <row r="67" ht="22.5" customHeight="1">
      <c r="A67" s="265"/>
      <c r="B67" s="266"/>
      <c r="C67" s="266"/>
      <c r="D67" s="266"/>
      <c r="E67" s="181"/>
      <c r="F67" s="181"/>
      <c r="G67" s="181"/>
      <c r="H67" s="266"/>
      <c r="I67" s="266"/>
      <c r="J67" s="266"/>
      <c r="K67" s="266"/>
      <c r="L67" s="266"/>
      <c r="M67" s="267"/>
      <c r="N67" s="266"/>
      <c r="O67" s="266"/>
      <c r="P67" s="266"/>
      <c r="Q67" s="266"/>
      <c r="R67" s="185"/>
    </row>
    <row r="68" ht="22.5" customHeight="1">
      <c r="A68" s="265"/>
      <c r="B68" s="266"/>
      <c r="C68" s="266"/>
      <c r="D68" s="266"/>
      <c r="E68" s="181"/>
      <c r="F68" s="181"/>
      <c r="G68" s="181"/>
      <c r="H68" s="266"/>
      <c r="I68" s="266"/>
      <c r="J68" s="266"/>
      <c r="K68" s="266"/>
      <c r="L68" s="266"/>
      <c r="M68" s="267"/>
      <c r="N68" s="266"/>
      <c r="O68" s="266"/>
      <c r="P68" s="266"/>
      <c r="Q68" s="266"/>
      <c r="R68" s="185"/>
    </row>
    <row r="69" ht="22.5" customHeight="1">
      <c r="A69" s="265"/>
      <c r="B69" s="266"/>
      <c r="C69" s="266"/>
      <c r="D69" s="266"/>
      <c r="E69" s="181"/>
      <c r="F69" s="181"/>
      <c r="G69" s="181"/>
      <c r="H69" s="266"/>
      <c r="I69" s="266"/>
      <c r="J69" s="266"/>
      <c r="K69" s="266"/>
      <c r="L69" s="266"/>
      <c r="M69" s="267"/>
      <c r="N69" s="266"/>
      <c r="O69" s="266"/>
      <c r="P69" s="266"/>
      <c r="Q69" s="266"/>
      <c r="R69" s="185"/>
    </row>
    <row r="70" ht="22.5" customHeight="1">
      <c r="A70" s="265"/>
      <c r="B70" s="266"/>
      <c r="C70" s="266"/>
      <c r="D70" s="266"/>
      <c r="E70" s="181"/>
      <c r="F70" s="181"/>
      <c r="G70" s="181"/>
      <c r="H70" s="266"/>
      <c r="I70" s="266"/>
      <c r="J70" s="266"/>
      <c r="K70" s="266"/>
      <c r="L70" s="266"/>
      <c r="M70" s="267"/>
      <c r="N70" s="266"/>
      <c r="O70" s="266"/>
      <c r="P70" s="266"/>
      <c r="Q70" s="266"/>
      <c r="R70" s="185"/>
    </row>
    <row r="71" ht="22.5" customHeight="1">
      <c r="A71" s="265"/>
      <c r="B71" s="266"/>
      <c r="C71" s="266"/>
      <c r="D71" s="266"/>
      <c r="E71" s="181"/>
      <c r="F71" s="181"/>
      <c r="G71" s="181"/>
      <c r="H71" s="266"/>
      <c r="I71" s="266"/>
      <c r="J71" s="266"/>
      <c r="K71" s="266"/>
      <c r="L71" s="266"/>
      <c r="M71" s="267"/>
      <c r="N71" s="266"/>
      <c r="O71" s="266"/>
      <c r="P71" s="266"/>
      <c r="Q71" s="266"/>
      <c r="R71" s="185"/>
    </row>
    <row r="72" ht="22.5" customHeight="1">
      <c r="A72" s="265"/>
      <c r="B72" s="266"/>
      <c r="C72" s="266"/>
      <c r="D72" s="266"/>
      <c r="E72" s="181"/>
      <c r="F72" s="181"/>
      <c r="G72" s="181"/>
      <c r="H72" s="266"/>
      <c r="I72" s="266"/>
      <c r="J72" s="266"/>
      <c r="K72" s="266"/>
      <c r="L72" s="266"/>
      <c r="M72" s="267"/>
      <c r="N72" s="266"/>
      <c r="O72" s="266"/>
      <c r="P72" s="266"/>
      <c r="Q72" s="266"/>
      <c r="R72" s="185"/>
    </row>
    <row r="73" ht="22.5" customHeight="1">
      <c r="A73" s="265"/>
      <c r="B73" s="266"/>
      <c r="C73" s="266"/>
      <c r="D73" s="266"/>
      <c r="E73" s="181"/>
      <c r="F73" s="181"/>
      <c r="G73" s="181"/>
      <c r="H73" s="266"/>
      <c r="I73" s="266"/>
      <c r="J73" s="266"/>
      <c r="K73" s="266"/>
      <c r="L73" s="266"/>
      <c r="M73" s="267"/>
      <c r="N73" s="266"/>
      <c r="O73" s="266"/>
      <c r="P73" s="266"/>
      <c r="Q73" s="266"/>
      <c r="R73" s="185"/>
    </row>
    <row r="74" ht="22.5" customHeight="1">
      <c r="A74" s="265"/>
      <c r="B74" s="266"/>
      <c r="C74" s="266"/>
      <c r="D74" s="266"/>
      <c r="E74" s="181"/>
      <c r="F74" s="181"/>
      <c r="G74" s="181"/>
      <c r="H74" s="266"/>
      <c r="I74" s="266"/>
      <c r="J74" s="266"/>
      <c r="K74" s="266"/>
      <c r="L74" s="266"/>
      <c r="M74" s="267"/>
      <c r="N74" s="266"/>
      <c r="O74" s="266"/>
      <c r="P74" s="266"/>
      <c r="Q74" s="266"/>
      <c r="R74" s="185"/>
    </row>
    <row r="75" ht="22.5" customHeight="1">
      <c r="A75" s="265"/>
      <c r="B75" s="266"/>
      <c r="C75" s="266"/>
      <c r="D75" s="266"/>
      <c r="E75" s="181"/>
      <c r="F75" s="181"/>
      <c r="G75" s="181"/>
      <c r="H75" s="266"/>
      <c r="I75" s="266"/>
      <c r="J75" s="266"/>
      <c r="K75" s="266"/>
      <c r="L75" s="266"/>
      <c r="M75" s="267"/>
      <c r="N75" s="266"/>
      <c r="O75" s="266"/>
      <c r="P75" s="266"/>
      <c r="Q75" s="266"/>
      <c r="R75" s="185"/>
    </row>
    <row r="76" ht="22.5" customHeight="1">
      <c r="A76" s="265"/>
      <c r="B76" s="266"/>
      <c r="C76" s="266"/>
      <c r="D76" s="266"/>
      <c r="E76" s="181"/>
      <c r="F76" s="181"/>
      <c r="G76" s="181"/>
      <c r="H76" s="266"/>
      <c r="I76" s="266"/>
      <c r="J76" s="266"/>
      <c r="K76" s="266"/>
      <c r="L76" s="266"/>
      <c r="M76" s="267"/>
      <c r="N76" s="266"/>
      <c r="O76" s="266"/>
      <c r="P76" s="266"/>
      <c r="Q76" s="266"/>
      <c r="R76" s="185"/>
    </row>
    <row r="77" ht="22.5" customHeight="1">
      <c r="A77" s="265"/>
      <c r="B77" s="266"/>
      <c r="C77" s="266"/>
      <c r="D77" s="266"/>
      <c r="E77" s="181"/>
      <c r="F77" s="181"/>
      <c r="G77" s="181"/>
      <c r="H77" s="266"/>
      <c r="I77" s="266"/>
      <c r="J77" s="266"/>
      <c r="K77" s="266"/>
      <c r="L77" s="266"/>
      <c r="M77" s="267"/>
      <c r="N77" s="266"/>
      <c r="O77" s="266"/>
      <c r="P77" s="266"/>
      <c r="Q77" s="266"/>
      <c r="R77" s="185"/>
    </row>
    <row r="78" ht="22.5" customHeight="1">
      <c r="A78" s="265"/>
      <c r="B78" s="266"/>
      <c r="C78" s="266"/>
      <c r="D78" s="266"/>
      <c r="E78" s="181"/>
      <c r="F78" s="181"/>
      <c r="G78" s="181"/>
      <c r="H78" s="266"/>
      <c r="I78" s="266"/>
      <c r="J78" s="266"/>
      <c r="K78" s="266"/>
      <c r="L78" s="266"/>
      <c r="M78" s="267"/>
      <c r="N78" s="266"/>
      <c r="O78" s="266"/>
      <c r="P78" s="266"/>
      <c r="Q78" s="266"/>
      <c r="R78" s="185"/>
    </row>
    <row r="79" ht="22.5" customHeight="1">
      <c r="A79" s="265"/>
      <c r="B79" s="266"/>
      <c r="C79" s="266"/>
      <c r="D79" s="266"/>
      <c r="E79" s="181"/>
      <c r="F79" s="181"/>
      <c r="G79" s="181"/>
      <c r="H79" s="266"/>
      <c r="I79" s="266"/>
      <c r="J79" s="266"/>
      <c r="K79" s="266"/>
      <c r="L79" s="266"/>
      <c r="M79" s="267"/>
      <c r="N79" s="266"/>
      <c r="O79" s="266"/>
      <c r="P79" s="266"/>
      <c r="Q79" s="266"/>
      <c r="R79" s="185"/>
    </row>
    <row r="80" ht="22.5" customHeight="1">
      <c r="A80" s="265"/>
      <c r="B80" s="266"/>
      <c r="C80" s="266"/>
      <c r="D80" s="266"/>
      <c r="E80" s="181"/>
      <c r="F80" s="181"/>
      <c r="G80" s="181"/>
      <c r="H80" s="266"/>
      <c r="I80" s="266"/>
      <c r="J80" s="266"/>
      <c r="K80" s="266"/>
      <c r="L80" s="266"/>
      <c r="M80" s="267"/>
      <c r="N80" s="266"/>
      <c r="O80" s="266"/>
      <c r="P80" s="266"/>
      <c r="Q80" s="266"/>
      <c r="R80" s="185"/>
    </row>
    <row r="81" ht="22.5" customHeight="1">
      <c r="A81" s="265"/>
      <c r="B81" s="266"/>
      <c r="C81" s="266"/>
      <c r="D81" s="266"/>
      <c r="E81" s="181"/>
      <c r="F81" s="181"/>
      <c r="G81" s="181"/>
      <c r="H81" s="266"/>
      <c r="I81" s="266"/>
      <c r="J81" s="266"/>
      <c r="K81" s="266"/>
      <c r="L81" s="266"/>
      <c r="M81" s="267"/>
      <c r="N81" s="266"/>
      <c r="O81" s="266"/>
      <c r="P81" s="266"/>
      <c r="Q81" s="266"/>
      <c r="R81" s="185"/>
    </row>
    <row r="82" ht="22.5" customHeight="1">
      <c r="A82" s="265"/>
      <c r="B82" s="266"/>
      <c r="C82" s="266"/>
      <c r="D82" s="266"/>
      <c r="E82" s="181"/>
      <c r="F82" s="181"/>
      <c r="G82" s="181"/>
      <c r="H82" s="266"/>
      <c r="I82" s="266"/>
      <c r="J82" s="266"/>
      <c r="K82" s="266"/>
      <c r="L82" s="266"/>
      <c r="M82" s="267"/>
      <c r="N82" s="266"/>
      <c r="O82" s="266"/>
      <c r="P82" s="266"/>
      <c r="Q82" s="266"/>
      <c r="R82" s="185"/>
    </row>
    <row r="83" ht="22.5" customHeight="1">
      <c r="A83" s="265"/>
      <c r="B83" s="266"/>
      <c r="C83" s="266"/>
      <c r="D83" s="266"/>
      <c r="E83" s="181"/>
      <c r="F83" s="181"/>
      <c r="G83" s="181"/>
      <c r="H83" s="266"/>
      <c r="I83" s="266"/>
      <c r="J83" s="266"/>
      <c r="K83" s="266"/>
      <c r="L83" s="266"/>
      <c r="M83" s="267"/>
      <c r="N83" s="266"/>
      <c r="O83" s="266"/>
      <c r="P83" s="266"/>
      <c r="Q83" s="266"/>
      <c r="R83" s="185"/>
    </row>
    <row r="84" ht="22.5" customHeight="1">
      <c r="A84" s="265"/>
      <c r="B84" s="266"/>
      <c r="C84" s="266"/>
      <c r="D84" s="266"/>
      <c r="E84" s="181"/>
      <c r="F84" s="181"/>
      <c r="G84" s="181"/>
      <c r="H84" s="266"/>
      <c r="I84" s="266"/>
      <c r="J84" s="266"/>
      <c r="K84" s="266"/>
      <c r="L84" s="266"/>
      <c r="M84" s="267"/>
      <c r="N84" s="266"/>
      <c r="O84" s="266"/>
      <c r="P84" s="266"/>
      <c r="Q84" s="266"/>
      <c r="R84" s="185"/>
    </row>
    <row r="85" ht="22.5" customHeight="1">
      <c r="A85" s="265"/>
      <c r="B85" s="266"/>
      <c r="C85" s="266"/>
      <c r="D85" s="266"/>
      <c r="E85" s="181"/>
      <c r="F85" s="181"/>
      <c r="G85" s="181"/>
      <c r="H85" s="266"/>
      <c r="I85" s="266"/>
      <c r="J85" s="266"/>
      <c r="K85" s="266"/>
      <c r="L85" s="266"/>
      <c r="M85" s="267"/>
      <c r="N85" s="266"/>
      <c r="O85" s="266"/>
      <c r="P85" s="266"/>
      <c r="Q85" s="266"/>
      <c r="R85" s="185"/>
    </row>
    <row r="86" ht="22.5" customHeight="1">
      <c r="A86" s="265"/>
      <c r="B86" s="266"/>
      <c r="C86" s="266"/>
      <c r="D86" s="266"/>
      <c r="E86" s="181"/>
      <c r="F86" s="181"/>
      <c r="G86" s="181"/>
      <c r="H86" s="266"/>
      <c r="I86" s="266"/>
      <c r="J86" s="266"/>
      <c r="K86" s="266"/>
      <c r="L86" s="266"/>
      <c r="M86" s="267"/>
      <c r="N86" s="266"/>
      <c r="O86" s="266"/>
      <c r="P86" s="266"/>
      <c r="Q86" s="266"/>
      <c r="R86" s="185"/>
    </row>
    <row r="87" ht="22.5" customHeight="1">
      <c r="A87" s="265"/>
      <c r="B87" s="266"/>
      <c r="C87" s="266"/>
      <c r="D87" s="266"/>
      <c r="E87" s="181"/>
      <c r="F87" s="181"/>
      <c r="G87" s="181"/>
      <c r="H87" s="266"/>
      <c r="I87" s="266"/>
      <c r="J87" s="266"/>
      <c r="K87" s="266"/>
      <c r="L87" s="266"/>
      <c r="M87" s="267"/>
      <c r="N87" s="266"/>
      <c r="O87" s="266"/>
      <c r="P87" s="266"/>
      <c r="Q87" s="266"/>
      <c r="R87" s="185"/>
    </row>
    <row r="88" ht="22.5" customHeight="1">
      <c r="A88" s="265"/>
      <c r="B88" s="266"/>
      <c r="C88" s="266"/>
      <c r="D88" s="266"/>
      <c r="E88" s="181"/>
      <c r="F88" s="181"/>
      <c r="G88" s="181"/>
      <c r="H88" s="266"/>
      <c r="I88" s="266"/>
      <c r="J88" s="266"/>
      <c r="K88" s="266"/>
      <c r="L88" s="266"/>
      <c r="M88" s="267"/>
      <c r="N88" s="266"/>
      <c r="O88" s="266"/>
      <c r="P88" s="266"/>
      <c r="Q88" s="266"/>
      <c r="R88" s="185"/>
    </row>
    <row r="89" ht="22.5" customHeight="1">
      <c r="A89" s="265"/>
      <c r="B89" s="266"/>
      <c r="C89" s="266"/>
      <c r="D89" s="266"/>
      <c r="E89" s="181"/>
      <c r="F89" s="181"/>
      <c r="G89" s="181"/>
      <c r="H89" s="266"/>
      <c r="I89" s="266"/>
      <c r="J89" s="266"/>
      <c r="K89" s="266"/>
      <c r="L89" s="266"/>
      <c r="M89" s="267"/>
      <c r="N89" s="266"/>
      <c r="O89" s="266"/>
      <c r="P89" s="266"/>
      <c r="Q89" s="266"/>
      <c r="R89" s="185"/>
    </row>
    <row r="90" ht="22.5" customHeight="1">
      <c r="A90" s="265"/>
      <c r="B90" s="266"/>
      <c r="C90" s="266"/>
      <c r="D90" s="266"/>
      <c r="E90" s="181"/>
      <c r="F90" s="181"/>
      <c r="G90" s="181"/>
      <c r="H90" s="266"/>
      <c r="I90" s="266"/>
      <c r="J90" s="266"/>
      <c r="K90" s="266"/>
      <c r="L90" s="266"/>
      <c r="M90" s="267"/>
      <c r="N90" s="266"/>
      <c r="O90" s="266"/>
      <c r="P90" s="266"/>
      <c r="Q90" s="266"/>
      <c r="R90" s="185"/>
    </row>
    <row r="91" ht="22.5" customHeight="1">
      <c r="A91" s="265"/>
      <c r="B91" s="266"/>
      <c r="C91" s="266"/>
      <c r="D91" s="266"/>
      <c r="E91" s="181"/>
      <c r="F91" s="181"/>
      <c r="G91" s="181"/>
      <c r="H91" s="266"/>
      <c r="I91" s="266"/>
      <c r="J91" s="266"/>
      <c r="K91" s="266"/>
      <c r="L91" s="266"/>
      <c r="M91" s="267"/>
      <c r="N91" s="266"/>
      <c r="O91" s="266"/>
      <c r="P91" s="266"/>
      <c r="Q91" s="266"/>
      <c r="R91" s="185"/>
    </row>
    <row r="92" ht="22.5" customHeight="1">
      <c r="A92" s="265"/>
      <c r="B92" s="266"/>
      <c r="C92" s="266"/>
      <c r="D92" s="266"/>
      <c r="E92" s="181"/>
      <c r="F92" s="181"/>
      <c r="G92" s="181"/>
      <c r="H92" s="266"/>
      <c r="I92" s="266"/>
      <c r="J92" s="266"/>
      <c r="K92" s="266"/>
      <c r="L92" s="266"/>
      <c r="M92" s="267"/>
      <c r="N92" s="266"/>
      <c r="O92" s="266"/>
      <c r="P92" s="266"/>
      <c r="Q92" s="266"/>
      <c r="R92" s="185"/>
    </row>
    <row r="93" ht="22.5" customHeight="1">
      <c r="A93" s="265"/>
      <c r="B93" s="266"/>
      <c r="C93" s="266"/>
      <c r="D93" s="266"/>
      <c r="E93" s="181"/>
      <c r="F93" s="181"/>
      <c r="G93" s="181"/>
      <c r="H93" s="266"/>
      <c r="I93" s="266"/>
      <c r="J93" s="266"/>
      <c r="K93" s="266"/>
      <c r="L93" s="266"/>
      <c r="M93" s="267"/>
      <c r="N93" s="266"/>
      <c r="O93" s="266"/>
      <c r="P93" s="266"/>
      <c r="Q93" s="266"/>
      <c r="R93" s="185"/>
    </row>
    <row r="94" ht="22.5" customHeight="1">
      <c r="A94" s="265"/>
      <c r="B94" s="266"/>
      <c r="C94" s="266"/>
      <c r="D94" s="266"/>
      <c r="E94" s="181"/>
      <c r="F94" s="181"/>
      <c r="G94" s="181"/>
      <c r="H94" s="266"/>
      <c r="I94" s="266"/>
      <c r="J94" s="266"/>
      <c r="K94" s="266"/>
      <c r="L94" s="266"/>
      <c r="M94" s="267"/>
      <c r="N94" s="266"/>
      <c r="O94" s="266"/>
      <c r="P94" s="266"/>
      <c r="Q94" s="266"/>
      <c r="R94" s="185"/>
    </row>
    <row r="95" ht="22.5" customHeight="1">
      <c r="A95" s="265"/>
      <c r="B95" s="266"/>
      <c r="C95" s="266"/>
      <c r="D95" s="266"/>
      <c r="E95" s="181"/>
      <c r="F95" s="181"/>
      <c r="G95" s="181"/>
      <c r="H95" s="266"/>
      <c r="I95" s="266"/>
      <c r="J95" s="266"/>
      <c r="K95" s="266"/>
      <c r="L95" s="266"/>
      <c r="M95" s="267"/>
      <c r="N95" s="266"/>
      <c r="O95" s="266"/>
      <c r="P95" s="266"/>
      <c r="Q95" s="266"/>
      <c r="R95" s="185"/>
    </row>
    <row r="96" ht="22.5" customHeight="1">
      <c r="A96" s="265"/>
      <c r="B96" s="266"/>
      <c r="C96" s="266"/>
      <c r="D96" s="266"/>
      <c r="E96" s="181"/>
      <c r="F96" s="181"/>
      <c r="G96" s="181"/>
      <c r="H96" s="266"/>
      <c r="I96" s="266"/>
      <c r="J96" s="266"/>
      <c r="K96" s="266"/>
      <c r="L96" s="266"/>
      <c r="M96" s="267"/>
      <c r="N96" s="266"/>
      <c r="O96" s="266"/>
      <c r="P96" s="266"/>
      <c r="Q96" s="266"/>
      <c r="R96" s="185"/>
    </row>
    <row r="97" ht="22.5" customHeight="1">
      <c r="A97" s="265"/>
      <c r="B97" s="266"/>
      <c r="C97" s="266"/>
      <c r="D97" s="266"/>
      <c r="E97" s="181"/>
      <c r="F97" s="181"/>
      <c r="G97" s="181"/>
      <c r="H97" s="266"/>
      <c r="I97" s="266"/>
      <c r="J97" s="266"/>
      <c r="K97" s="266"/>
      <c r="L97" s="266"/>
      <c r="M97" s="267"/>
      <c r="N97" s="266"/>
      <c r="O97" s="266"/>
      <c r="P97" s="266"/>
      <c r="Q97" s="266"/>
      <c r="R97" s="185"/>
    </row>
    <row r="98" ht="22.5" customHeight="1">
      <c r="A98" s="265"/>
      <c r="B98" s="266"/>
      <c r="C98" s="266"/>
      <c r="D98" s="266"/>
      <c r="E98" s="181"/>
      <c r="F98" s="181"/>
      <c r="G98" s="181"/>
      <c r="H98" s="266"/>
      <c r="I98" s="266"/>
      <c r="J98" s="266"/>
      <c r="K98" s="266"/>
      <c r="L98" s="266"/>
      <c r="M98" s="267"/>
      <c r="N98" s="266"/>
      <c r="O98" s="266"/>
      <c r="P98" s="266"/>
      <c r="Q98" s="266"/>
      <c r="R98" s="185"/>
    </row>
    <row r="99" ht="22.5" customHeight="1">
      <c r="A99" s="265"/>
      <c r="B99" s="266"/>
      <c r="C99" s="266"/>
      <c r="D99" s="266"/>
      <c r="E99" s="181"/>
      <c r="F99" s="181"/>
      <c r="G99" s="181"/>
      <c r="H99" s="266"/>
      <c r="I99" s="266"/>
      <c r="J99" s="266"/>
      <c r="K99" s="266"/>
      <c r="L99" s="266"/>
      <c r="M99" s="267"/>
      <c r="N99" s="266"/>
      <c r="O99" s="266"/>
      <c r="P99" s="266"/>
      <c r="Q99" s="266"/>
      <c r="R99" s="185"/>
    </row>
    <row r="100" ht="22.5" customHeight="1">
      <c r="A100" s="265"/>
      <c r="B100" s="266"/>
      <c r="C100" s="266"/>
      <c r="D100" s="266"/>
      <c r="E100" s="181"/>
      <c r="F100" s="181"/>
      <c r="G100" s="181"/>
      <c r="H100" s="266"/>
      <c r="I100" s="266"/>
      <c r="J100" s="266"/>
      <c r="K100" s="266"/>
      <c r="L100" s="266"/>
      <c r="M100" s="267"/>
      <c r="N100" s="266"/>
      <c r="O100" s="266"/>
      <c r="P100" s="266"/>
      <c r="Q100" s="266"/>
      <c r="R100" s="185"/>
    </row>
    <row r="101" ht="22.5" customHeight="1">
      <c r="A101" s="265"/>
      <c r="B101" s="266"/>
      <c r="C101" s="266"/>
      <c r="D101" s="266"/>
      <c r="E101" s="181"/>
      <c r="F101" s="181"/>
      <c r="G101" s="181"/>
      <c r="H101" s="266"/>
      <c r="I101" s="266"/>
      <c r="J101" s="266"/>
      <c r="K101" s="266"/>
      <c r="L101" s="266"/>
      <c r="M101" s="267"/>
      <c r="N101" s="266"/>
      <c r="O101" s="266"/>
      <c r="P101" s="266"/>
      <c r="Q101" s="266"/>
      <c r="R101" s="185"/>
    </row>
    <row r="102" ht="22.5" customHeight="1">
      <c r="A102" s="265"/>
      <c r="B102" s="266"/>
      <c r="C102" s="266"/>
      <c r="D102" s="266"/>
      <c r="E102" s="181"/>
      <c r="F102" s="181"/>
      <c r="G102" s="181"/>
      <c r="H102" s="266"/>
      <c r="I102" s="266"/>
      <c r="J102" s="266"/>
      <c r="K102" s="266"/>
      <c r="L102" s="266"/>
      <c r="M102" s="267"/>
      <c r="N102" s="266"/>
      <c r="O102" s="266"/>
      <c r="P102" s="266"/>
      <c r="Q102" s="266"/>
      <c r="R102" s="185"/>
    </row>
    <row r="103" ht="22.5" customHeight="1">
      <c r="A103" s="265"/>
      <c r="B103" s="266"/>
      <c r="C103" s="266"/>
      <c r="D103" s="266"/>
      <c r="E103" s="181"/>
      <c r="F103" s="181"/>
      <c r="G103" s="181"/>
      <c r="H103" s="266"/>
      <c r="I103" s="266"/>
      <c r="J103" s="266"/>
      <c r="K103" s="266"/>
      <c r="L103" s="266"/>
      <c r="M103" s="267"/>
      <c r="N103" s="266"/>
      <c r="O103" s="266"/>
      <c r="P103" s="266"/>
      <c r="Q103" s="266"/>
      <c r="R103" s="185"/>
    </row>
    <row r="104" ht="22.5" customHeight="1">
      <c r="A104" s="265"/>
      <c r="B104" s="266"/>
      <c r="C104" s="266"/>
      <c r="D104" s="266"/>
      <c r="E104" s="181"/>
      <c r="F104" s="181"/>
      <c r="G104" s="181"/>
      <c r="H104" s="266"/>
      <c r="I104" s="266"/>
      <c r="J104" s="266"/>
      <c r="K104" s="266"/>
      <c r="L104" s="266"/>
      <c r="M104" s="267"/>
      <c r="N104" s="266"/>
      <c r="O104" s="266"/>
      <c r="P104" s="266"/>
      <c r="Q104" s="266"/>
      <c r="R104" s="185"/>
    </row>
    <row r="105" ht="22.5" customHeight="1">
      <c r="A105" s="265"/>
      <c r="B105" s="266"/>
      <c r="C105" s="266"/>
      <c r="D105" s="266"/>
      <c r="E105" s="181"/>
      <c r="F105" s="181"/>
      <c r="G105" s="181"/>
      <c r="H105" s="266"/>
      <c r="I105" s="266"/>
      <c r="J105" s="266"/>
      <c r="K105" s="266"/>
      <c r="L105" s="266"/>
      <c r="M105" s="267"/>
      <c r="N105" s="266"/>
      <c r="O105" s="266"/>
      <c r="P105" s="266"/>
      <c r="Q105" s="266"/>
      <c r="R105" s="185"/>
    </row>
    <row r="106" ht="22.5" customHeight="1">
      <c r="A106" s="265"/>
      <c r="B106" s="266"/>
      <c r="C106" s="266"/>
      <c r="D106" s="266"/>
      <c r="E106" s="181"/>
      <c r="F106" s="181"/>
      <c r="G106" s="181"/>
      <c r="H106" s="266"/>
      <c r="I106" s="266"/>
      <c r="J106" s="266"/>
      <c r="K106" s="266"/>
      <c r="L106" s="266"/>
      <c r="M106" s="267"/>
      <c r="N106" s="266"/>
      <c r="O106" s="266"/>
      <c r="P106" s="266"/>
      <c r="Q106" s="266"/>
      <c r="R106" s="185"/>
    </row>
    <row r="107" ht="22.5" customHeight="1">
      <c r="A107" s="265"/>
      <c r="B107" s="266"/>
      <c r="C107" s="266"/>
      <c r="D107" s="266"/>
      <c r="E107" s="181"/>
      <c r="F107" s="181"/>
      <c r="G107" s="181"/>
      <c r="H107" s="266"/>
      <c r="I107" s="266"/>
      <c r="J107" s="266"/>
      <c r="K107" s="266"/>
      <c r="L107" s="266"/>
      <c r="M107" s="267"/>
      <c r="N107" s="266"/>
      <c r="O107" s="266"/>
      <c r="P107" s="266"/>
      <c r="Q107" s="266"/>
      <c r="R107" s="185"/>
    </row>
    <row r="108">
      <c r="R108" s="18"/>
    </row>
    <row r="109">
      <c r="R109" s="18"/>
    </row>
    <row r="110">
      <c r="R110" s="18"/>
    </row>
    <row r="111">
      <c r="R111" s="18"/>
    </row>
    <row r="112">
      <c r="R112" s="18"/>
    </row>
    <row r="113">
      <c r="R113" s="18"/>
    </row>
    <row r="114">
      <c r="R114" s="18"/>
    </row>
    <row r="115">
      <c r="R115" s="18"/>
    </row>
    <row r="116">
      <c r="R116" s="18"/>
    </row>
    <row r="117">
      <c r="R117" s="18"/>
    </row>
    <row r="118">
      <c r="R118" s="18"/>
    </row>
    <row r="119">
      <c r="R119" s="18"/>
    </row>
    <row r="120">
      <c r="R120" s="18"/>
    </row>
    <row r="121">
      <c r="R121" s="18"/>
    </row>
    <row r="122">
      <c r="R122" s="18"/>
    </row>
    <row r="123">
      <c r="R123" s="18"/>
    </row>
    <row r="124">
      <c r="R124" s="18"/>
    </row>
    <row r="125">
      <c r="R125" s="18"/>
    </row>
    <row r="126">
      <c r="R126" s="18"/>
    </row>
    <row r="127">
      <c r="R127" s="18"/>
    </row>
    <row r="128">
      <c r="R128" s="18"/>
    </row>
    <row r="129">
      <c r="R129" s="18"/>
    </row>
    <row r="130">
      <c r="R130" s="18"/>
    </row>
    <row r="131">
      <c r="R131" s="18"/>
    </row>
    <row r="132">
      <c r="R132" s="18"/>
    </row>
    <row r="133">
      <c r="R133" s="18"/>
    </row>
    <row r="134">
      <c r="R134" s="18"/>
    </row>
    <row r="135">
      <c r="R135" s="18"/>
    </row>
    <row r="136">
      <c r="R136" s="18"/>
    </row>
    <row r="137">
      <c r="R137" s="18"/>
    </row>
    <row r="138">
      <c r="R138" s="18"/>
    </row>
    <row r="139">
      <c r="R139" s="18"/>
    </row>
    <row r="140">
      <c r="R140" s="18"/>
    </row>
    <row r="141">
      <c r="R141" s="18"/>
    </row>
    <row r="142">
      <c r="R142" s="18"/>
    </row>
    <row r="143">
      <c r="R143" s="18"/>
    </row>
    <row r="144">
      <c r="R144" s="18"/>
    </row>
    <row r="145">
      <c r="R145" s="18"/>
    </row>
    <row r="146">
      <c r="R146" s="18"/>
    </row>
    <row r="147">
      <c r="R147" s="18"/>
    </row>
    <row r="148">
      <c r="R148" s="18"/>
    </row>
    <row r="149">
      <c r="R149" s="18"/>
    </row>
    <row r="150">
      <c r="R150" s="18"/>
    </row>
    <row r="151">
      <c r="R151" s="18"/>
    </row>
    <row r="152">
      <c r="R152" s="18"/>
    </row>
    <row r="153">
      <c r="R153" s="18"/>
    </row>
    <row r="154">
      <c r="R154" s="18"/>
    </row>
    <row r="155">
      <c r="R155" s="18"/>
    </row>
    <row r="156">
      <c r="R156" s="18"/>
    </row>
    <row r="157">
      <c r="R157" s="18"/>
    </row>
    <row r="158">
      <c r="R158" s="18"/>
    </row>
    <row r="159">
      <c r="R159" s="18"/>
    </row>
    <row r="160">
      <c r="R160" s="18"/>
    </row>
    <row r="161">
      <c r="R161" s="18"/>
    </row>
    <row r="162">
      <c r="R162" s="18"/>
    </row>
    <row r="163">
      <c r="R163" s="18"/>
    </row>
    <row r="164">
      <c r="R164" s="18"/>
    </row>
    <row r="165">
      <c r="R165" s="18"/>
    </row>
    <row r="166">
      <c r="R166" s="18"/>
    </row>
    <row r="167">
      <c r="R167" s="18"/>
    </row>
    <row r="168">
      <c r="R168" s="18"/>
    </row>
    <row r="169">
      <c r="R169" s="18"/>
    </row>
    <row r="170">
      <c r="R170" s="18"/>
    </row>
    <row r="171">
      <c r="R171" s="18"/>
    </row>
    <row r="172">
      <c r="R172" s="18"/>
    </row>
    <row r="173">
      <c r="R173" s="18"/>
    </row>
    <row r="174">
      <c r="R174" s="18"/>
    </row>
    <row r="175">
      <c r="R175" s="18"/>
    </row>
    <row r="176">
      <c r="R176" s="18"/>
    </row>
    <row r="177">
      <c r="R177" s="18"/>
    </row>
    <row r="178">
      <c r="R178" s="18"/>
    </row>
    <row r="179">
      <c r="R179" s="18"/>
    </row>
    <row r="180">
      <c r="R180" s="18"/>
    </row>
    <row r="181">
      <c r="R181" s="18"/>
    </row>
    <row r="182">
      <c r="R182" s="18"/>
    </row>
    <row r="183">
      <c r="R183" s="18"/>
    </row>
    <row r="184">
      <c r="R184" s="18"/>
    </row>
    <row r="185">
      <c r="R185" s="18"/>
    </row>
    <row r="186">
      <c r="R186" s="18"/>
    </row>
    <row r="187">
      <c r="R187" s="18"/>
    </row>
    <row r="188">
      <c r="R188" s="18"/>
    </row>
    <row r="189">
      <c r="R189" s="18"/>
    </row>
    <row r="190">
      <c r="R190" s="18"/>
    </row>
    <row r="191">
      <c r="R191" s="18"/>
    </row>
    <row r="192">
      <c r="R192" s="18"/>
    </row>
    <row r="193">
      <c r="R193" s="18"/>
    </row>
    <row r="194">
      <c r="R194" s="18"/>
    </row>
    <row r="195">
      <c r="R195" s="18"/>
    </row>
    <row r="196">
      <c r="R196" s="18"/>
    </row>
    <row r="197">
      <c r="R197" s="18"/>
    </row>
    <row r="198">
      <c r="R198" s="18"/>
    </row>
    <row r="199">
      <c r="R199" s="18"/>
    </row>
    <row r="200">
      <c r="R200" s="18"/>
    </row>
    <row r="201">
      <c r="R201" s="18"/>
    </row>
    <row r="202">
      <c r="R202" s="18"/>
    </row>
    <row r="203">
      <c r="R203" s="18"/>
    </row>
    <row r="204">
      <c r="R204" s="18"/>
    </row>
    <row r="205">
      <c r="R205" s="18"/>
    </row>
    <row r="206">
      <c r="R206" s="18"/>
    </row>
    <row r="207">
      <c r="R207" s="18"/>
    </row>
    <row r="208">
      <c r="R208" s="18"/>
    </row>
    <row r="209">
      <c r="R209" s="18"/>
    </row>
    <row r="210">
      <c r="R210" s="18"/>
    </row>
    <row r="211">
      <c r="R211" s="18"/>
    </row>
    <row r="212">
      <c r="R212" s="18"/>
    </row>
    <row r="213">
      <c r="R213" s="18"/>
    </row>
    <row r="214">
      <c r="R214" s="18"/>
    </row>
    <row r="215">
      <c r="R215" s="18"/>
    </row>
    <row r="216">
      <c r="R216" s="18"/>
    </row>
    <row r="217">
      <c r="R217" s="18"/>
    </row>
    <row r="218">
      <c r="R218" s="18"/>
    </row>
    <row r="219">
      <c r="R219" s="18"/>
    </row>
    <row r="220">
      <c r="R220" s="18"/>
    </row>
    <row r="221">
      <c r="R221" s="18"/>
    </row>
    <row r="222">
      <c r="R222" s="18"/>
    </row>
    <row r="223">
      <c r="R223" s="18"/>
    </row>
    <row r="224">
      <c r="R224" s="18"/>
    </row>
    <row r="225">
      <c r="R225" s="18"/>
    </row>
    <row r="226">
      <c r="R226" s="18"/>
    </row>
    <row r="227">
      <c r="R227" s="18"/>
    </row>
    <row r="228">
      <c r="R228" s="18"/>
    </row>
    <row r="229">
      <c r="R229" s="18"/>
    </row>
    <row r="230">
      <c r="R230" s="18"/>
    </row>
    <row r="231">
      <c r="R231" s="18"/>
    </row>
    <row r="232">
      <c r="R232" s="18"/>
    </row>
    <row r="233">
      <c r="R233" s="18"/>
    </row>
    <row r="234">
      <c r="R234" s="18"/>
    </row>
    <row r="235">
      <c r="R235" s="18"/>
    </row>
    <row r="236">
      <c r="R236" s="18"/>
    </row>
    <row r="237">
      <c r="R237" s="18"/>
    </row>
    <row r="238">
      <c r="R238" s="18"/>
    </row>
    <row r="239">
      <c r="R239" s="18"/>
    </row>
    <row r="240">
      <c r="R240" s="18"/>
    </row>
    <row r="241">
      <c r="R241" s="18"/>
    </row>
    <row r="242">
      <c r="R242" s="18"/>
    </row>
    <row r="243">
      <c r="R243" s="18"/>
    </row>
    <row r="244">
      <c r="R244" s="18"/>
    </row>
    <row r="245">
      <c r="R245" s="18"/>
    </row>
    <row r="246">
      <c r="R246" s="18"/>
    </row>
    <row r="247">
      <c r="R247" s="18"/>
    </row>
    <row r="248">
      <c r="R248" s="18"/>
    </row>
    <row r="249">
      <c r="R249" s="18"/>
    </row>
    <row r="250">
      <c r="R250" s="18"/>
    </row>
    <row r="251">
      <c r="R251" s="18"/>
    </row>
    <row r="252">
      <c r="R252" s="18"/>
    </row>
    <row r="253">
      <c r="R253" s="18"/>
    </row>
    <row r="254">
      <c r="R254" s="18"/>
    </row>
    <row r="255">
      <c r="R255" s="18"/>
    </row>
    <row r="256">
      <c r="R256" s="18"/>
    </row>
    <row r="257">
      <c r="R257" s="18"/>
    </row>
    <row r="258">
      <c r="R258" s="18"/>
    </row>
    <row r="259">
      <c r="R259" s="18"/>
    </row>
    <row r="260">
      <c r="R260" s="18"/>
    </row>
    <row r="261">
      <c r="R261" s="18"/>
    </row>
    <row r="262">
      <c r="R262" s="18"/>
    </row>
    <row r="263">
      <c r="R263" s="18"/>
    </row>
    <row r="264">
      <c r="R264" s="18"/>
    </row>
    <row r="265">
      <c r="R265" s="18"/>
    </row>
    <row r="266">
      <c r="R266" s="18"/>
    </row>
    <row r="267">
      <c r="R267" s="18"/>
    </row>
    <row r="268">
      <c r="R268" s="18"/>
    </row>
    <row r="269">
      <c r="R269" s="18"/>
    </row>
    <row r="270">
      <c r="R270" s="18"/>
    </row>
    <row r="271">
      <c r="R271" s="18"/>
    </row>
    <row r="272">
      <c r="R272" s="18"/>
    </row>
    <row r="273">
      <c r="R273" s="18"/>
    </row>
    <row r="274">
      <c r="R274" s="18"/>
    </row>
    <row r="275">
      <c r="R275" s="18"/>
    </row>
    <row r="276">
      <c r="R276" s="18"/>
    </row>
    <row r="277">
      <c r="R277" s="18"/>
    </row>
    <row r="278">
      <c r="R278" s="18"/>
    </row>
    <row r="279">
      <c r="R279" s="18"/>
    </row>
    <row r="280">
      <c r="R280" s="18"/>
    </row>
    <row r="281">
      <c r="R281" s="18"/>
    </row>
    <row r="282">
      <c r="R282" s="18"/>
    </row>
    <row r="283">
      <c r="R283" s="18"/>
    </row>
    <row r="284">
      <c r="R284" s="18"/>
    </row>
    <row r="285">
      <c r="R285" s="18"/>
    </row>
    <row r="286">
      <c r="R286" s="18"/>
    </row>
    <row r="287">
      <c r="R287" s="18"/>
    </row>
    <row r="288">
      <c r="R288" s="18"/>
    </row>
    <row r="289">
      <c r="R289" s="18"/>
    </row>
    <row r="290">
      <c r="R290" s="18"/>
    </row>
    <row r="291">
      <c r="R291" s="18"/>
    </row>
    <row r="292">
      <c r="R292" s="18"/>
    </row>
    <row r="293">
      <c r="R293" s="18"/>
    </row>
    <row r="294">
      <c r="R294" s="18"/>
    </row>
    <row r="295">
      <c r="R295" s="18"/>
    </row>
    <row r="296">
      <c r="R296" s="18"/>
    </row>
    <row r="297">
      <c r="R297" s="18"/>
    </row>
    <row r="298">
      <c r="R298" s="18"/>
    </row>
    <row r="299">
      <c r="R299" s="18"/>
    </row>
    <row r="300">
      <c r="R300" s="18"/>
    </row>
    <row r="301">
      <c r="R301" s="18"/>
    </row>
    <row r="302">
      <c r="R302" s="18"/>
    </row>
    <row r="303">
      <c r="R303" s="18"/>
    </row>
    <row r="304">
      <c r="R304" s="18"/>
    </row>
    <row r="305">
      <c r="R305" s="18"/>
    </row>
    <row r="306">
      <c r="R306" s="18"/>
    </row>
    <row r="307">
      <c r="R307" s="18"/>
    </row>
    <row r="308">
      <c r="R308" s="18"/>
    </row>
    <row r="309">
      <c r="R309" s="18"/>
    </row>
    <row r="310">
      <c r="R310" s="18"/>
    </row>
    <row r="311">
      <c r="R311" s="18"/>
    </row>
    <row r="312">
      <c r="R312" s="18"/>
    </row>
    <row r="313">
      <c r="R313" s="18"/>
    </row>
    <row r="314">
      <c r="R314" s="18"/>
    </row>
    <row r="315">
      <c r="R315" s="18"/>
    </row>
    <row r="316">
      <c r="R316" s="18"/>
    </row>
    <row r="317">
      <c r="R317" s="18"/>
    </row>
    <row r="318">
      <c r="R318" s="18"/>
    </row>
    <row r="319">
      <c r="R319" s="18"/>
    </row>
    <row r="320">
      <c r="R320" s="18"/>
    </row>
    <row r="321">
      <c r="R321" s="18"/>
    </row>
    <row r="322">
      <c r="R322" s="18"/>
    </row>
    <row r="323">
      <c r="R323" s="18"/>
    </row>
    <row r="324">
      <c r="R324" s="18"/>
    </row>
    <row r="325">
      <c r="R325" s="18"/>
    </row>
    <row r="326">
      <c r="R326" s="18"/>
    </row>
    <row r="327">
      <c r="R327" s="18"/>
    </row>
    <row r="328">
      <c r="R328" s="18"/>
    </row>
    <row r="329">
      <c r="R329" s="18"/>
    </row>
    <row r="330">
      <c r="R330" s="18"/>
    </row>
    <row r="331">
      <c r="R331" s="18"/>
    </row>
    <row r="332">
      <c r="R332" s="18"/>
    </row>
    <row r="333">
      <c r="R333" s="18"/>
    </row>
    <row r="334">
      <c r="R334" s="18"/>
    </row>
    <row r="335">
      <c r="R335" s="18"/>
    </row>
    <row r="336">
      <c r="R336" s="18"/>
    </row>
    <row r="337">
      <c r="R337" s="18"/>
    </row>
    <row r="338">
      <c r="R338" s="18"/>
    </row>
    <row r="339">
      <c r="R339" s="18"/>
    </row>
    <row r="340">
      <c r="R340" s="18"/>
    </row>
    <row r="341">
      <c r="R341" s="18"/>
    </row>
    <row r="342">
      <c r="R342" s="18"/>
    </row>
    <row r="343">
      <c r="R343" s="18"/>
    </row>
    <row r="344">
      <c r="R344" s="18"/>
    </row>
    <row r="345">
      <c r="R345" s="18"/>
    </row>
    <row r="346">
      <c r="R346" s="18"/>
    </row>
    <row r="347">
      <c r="R347" s="18"/>
    </row>
    <row r="348">
      <c r="R348" s="18"/>
    </row>
    <row r="349">
      <c r="R349" s="18"/>
    </row>
    <row r="350">
      <c r="R350" s="18"/>
    </row>
    <row r="351">
      <c r="R351" s="18"/>
    </row>
    <row r="352">
      <c r="R352" s="18"/>
    </row>
    <row r="353">
      <c r="R353" s="18"/>
    </row>
    <row r="354">
      <c r="R354" s="18"/>
    </row>
    <row r="355">
      <c r="R355" s="18"/>
    </row>
    <row r="356">
      <c r="R356" s="18"/>
    </row>
    <row r="357">
      <c r="R357" s="18"/>
    </row>
    <row r="358">
      <c r="R358" s="18"/>
    </row>
    <row r="359">
      <c r="R359" s="18"/>
    </row>
    <row r="360">
      <c r="R360" s="18"/>
    </row>
    <row r="361">
      <c r="R361" s="18"/>
    </row>
    <row r="362">
      <c r="R362" s="18"/>
    </row>
    <row r="363">
      <c r="R363" s="18"/>
    </row>
    <row r="364">
      <c r="R364" s="18"/>
    </row>
    <row r="365">
      <c r="R365" s="18"/>
    </row>
    <row r="366">
      <c r="R366" s="18"/>
    </row>
    <row r="367">
      <c r="R367" s="18"/>
    </row>
    <row r="368">
      <c r="R368" s="18"/>
    </row>
    <row r="369">
      <c r="R369" s="18"/>
    </row>
    <row r="370">
      <c r="R370" s="18"/>
    </row>
    <row r="371">
      <c r="R371" s="18"/>
    </row>
    <row r="372">
      <c r="R372" s="18"/>
    </row>
    <row r="373">
      <c r="R373" s="18"/>
    </row>
    <row r="374">
      <c r="R374" s="18"/>
    </row>
    <row r="375">
      <c r="R375" s="18"/>
    </row>
    <row r="376">
      <c r="R376" s="18"/>
    </row>
    <row r="377">
      <c r="R377" s="18"/>
    </row>
    <row r="378">
      <c r="R378" s="18"/>
    </row>
    <row r="379">
      <c r="R379" s="18"/>
    </row>
    <row r="380">
      <c r="R380" s="18"/>
    </row>
    <row r="381">
      <c r="R381" s="18"/>
    </row>
    <row r="382">
      <c r="R382" s="18"/>
    </row>
    <row r="383">
      <c r="R383" s="18"/>
    </row>
    <row r="384">
      <c r="R384" s="18"/>
    </row>
    <row r="385">
      <c r="R385" s="18"/>
    </row>
    <row r="386">
      <c r="R386" s="18"/>
    </row>
    <row r="387">
      <c r="R387" s="18"/>
    </row>
    <row r="388">
      <c r="R388" s="18"/>
    </row>
    <row r="389">
      <c r="R389" s="18"/>
    </row>
    <row r="390">
      <c r="R390" s="18"/>
    </row>
    <row r="391">
      <c r="R391" s="18"/>
    </row>
    <row r="392">
      <c r="R392" s="18"/>
    </row>
    <row r="393">
      <c r="R393" s="18"/>
    </row>
    <row r="394">
      <c r="R394" s="18"/>
    </row>
    <row r="395">
      <c r="R395" s="18"/>
    </row>
    <row r="396">
      <c r="R396" s="18"/>
    </row>
    <row r="397">
      <c r="R397" s="18"/>
    </row>
    <row r="398">
      <c r="R398" s="18"/>
    </row>
    <row r="399">
      <c r="R399" s="18"/>
    </row>
    <row r="400">
      <c r="R400" s="18"/>
    </row>
    <row r="401">
      <c r="R401" s="18"/>
    </row>
    <row r="402">
      <c r="R402" s="18"/>
    </row>
    <row r="403">
      <c r="R403" s="18"/>
    </row>
    <row r="404">
      <c r="R404" s="18"/>
    </row>
    <row r="405">
      <c r="R405" s="18"/>
    </row>
    <row r="406">
      <c r="R406" s="18"/>
    </row>
    <row r="407">
      <c r="R407" s="18"/>
    </row>
    <row r="408">
      <c r="R408" s="18"/>
    </row>
    <row r="409">
      <c r="R409" s="18"/>
    </row>
    <row r="410">
      <c r="R410" s="18"/>
    </row>
    <row r="411">
      <c r="R411" s="18"/>
    </row>
    <row r="412">
      <c r="R412" s="18"/>
    </row>
    <row r="413">
      <c r="R413" s="18"/>
    </row>
    <row r="414">
      <c r="R414" s="18"/>
    </row>
    <row r="415">
      <c r="R415" s="18"/>
    </row>
    <row r="416">
      <c r="R416" s="18"/>
    </row>
    <row r="417">
      <c r="R417" s="18"/>
    </row>
    <row r="418">
      <c r="R418" s="18"/>
    </row>
    <row r="419">
      <c r="R419" s="18"/>
    </row>
    <row r="420">
      <c r="R420" s="18"/>
    </row>
    <row r="421">
      <c r="R421" s="18"/>
    </row>
    <row r="422">
      <c r="R422" s="18"/>
    </row>
    <row r="423">
      <c r="R423" s="18"/>
    </row>
    <row r="424">
      <c r="R424" s="18"/>
    </row>
    <row r="425">
      <c r="R425" s="18"/>
    </row>
    <row r="426">
      <c r="R426" s="18"/>
    </row>
    <row r="427">
      <c r="R427" s="18"/>
    </row>
    <row r="428">
      <c r="R428" s="18"/>
    </row>
    <row r="429">
      <c r="R429" s="18"/>
    </row>
    <row r="430">
      <c r="R430" s="18"/>
    </row>
    <row r="431">
      <c r="R431" s="18"/>
    </row>
    <row r="432">
      <c r="R432" s="18"/>
    </row>
    <row r="433">
      <c r="R433" s="18"/>
    </row>
    <row r="434">
      <c r="R434" s="18"/>
    </row>
    <row r="435">
      <c r="R435" s="18"/>
    </row>
    <row r="436">
      <c r="R436" s="18"/>
    </row>
    <row r="437">
      <c r="R437" s="18"/>
    </row>
    <row r="438">
      <c r="R438" s="18"/>
    </row>
    <row r="439">
      <c r="R439" s="18"/>
    </row>
    <row r="440">
      <c r="R440" s="18"/>
    </row>
    <row r="441">
      <c r="R441" s="18"/>
    </row>
    <row r="442">
      <c r="R442" s="18"/>
    </row>
    <row r="443">
      <c r="R443" s="18"/>
    </row>
    <row r="444">
      <c r="R444" s="18"/>
    </row>
    <row r="445">
      <c r="R445" s="18"/>
    </row>
    <row r="446">
      <c r="R446" s="18"/>
    </row>
    <row r="447">
      <c r="R447" s="18"/>
    </row>
    <row r="448">
      <c r="R448" s="18"/>
    </row>
    <row r="449">
      <c r="R449" s="18"/>
    </row>
    <row r="450">
      <c r="R450" s="18"/>
    </row>
    <row r="451">
      <c r="R451" s="18"/>
    </row>
    <row r="452">
      <c r="R452" s="18"/>
    </row>
    <row r="453">
      <c r="R453" s="18"/>
    </row>
    <row r="454">
      <c r="R454" s="18"/>
    </row>
    <row r="455">
      <c r="R455" s="18"/>
    </row>
    <row r="456">
      <c r="R456" s="18"/>
    </row>
    <row r="457">
      <c r="R457" s="18"/>
    </row>
    <row r="458">
      <c r="R458" s="18"/>
    </row>
    <row r="459">
      <c r="R459" s="18"/>
    </row>
    <row r="460">
      <c r="R460" s="18"/>
    </row>
    <row r="461">
      <c r="R461" s="18"/>
    </row>
    <row r="462">
      <c r="R462" s="18"/>
    </row>
    <row r="463">
      <c r="R463" s="18"/>
    </row>
    <row r="464">
      <c r="R464" s="18"/>
    </row>
    <row r="465">
      <c r="R465" s="18"/>
    </row>
    <row r="466">
      <c r="R466" s="18"/>
    </row>
    <row r="467">
      <c r="R467" s="18"/>
    </row>
    <row r="468">
      <c r="R468" s="18"/>
    </row>
    <row r="469">
      <c r="R469" s="18"/>
    </row>
    <row r="470">
      <c r="R470" s="18"/>
    </row>
    <row r="471">
      <c r="R471" s="18"/>
    </row>
    <row r="472">
      <c r="R472" s="18"/>
    </row>
    <row r="473">
      <c r="R473" s="18"/>
    </row>
    <row r="474">
      <c r="R474" s="18"/>
    </row>
    <row r="475">
      <c r="R475" s="18"/>
    </row>
    <row r="476">
      <c r="R476" s="18"/>
    </row>
    <row r="477">
      <c r="R477" s="18"/>
    </row>
    <row r="478">
      <c r="R478" s="18"/>
    </row>
    <row r="479">
      <c r="R479" s="18"/>
    </row>
    <row r="480">
      <c r="R480" s="18"/>
    </row>
    <row r="481">
      <c r="R481" s="18"/>
    </row>
    <row r="482">
      <c r="R482" s="18"/>
    </row>
    <row r="483">
      <c r="R483" s="18"/>
    </row>
    <row r="484">
      <c r="R484" s="18"/>
    </row>
    <row r="485">
      <c r="R485" s="18"/>
    </row>
    <row r="486">
      <c r="R486" s="18"/>
    </row>
    <row r="487">
      <c r="R487" s="18"/>
    </row>
    <row r="488">
      <c r="R488" s="18"/>
    </row>
    <row r="489">
      <c r="R489" s="18"/>
    </row>
    <row r="490">
      <c r="R490" s="18"/>
    </row>
    <row r="491">
      <c r="R491" s="18"/>
    </row>
    <row r="492">
      <c r="R492" s="18"/>
    </row>
    <row r="493">
      <c r="R493" s="18"/>
    </row>
    <row r="494">
      <c r="R494" s="18"/>
    </row>
    <row r="495">
      <c r="R495" s="18"/>
    </row>
    <row r="496">
      <c r="R496" s="18"/>
    </row>
    <row r="497">
      <c r="R497" s="18"/>
    </row>
    <row r="498">
      <c r="R498" s="18"/>
    </row>
    <row r="499">
      <c r="R499" s="18"/>
    </row>
    <row r="500">
      <c r="R500" s="18"/>
    </row>
    <row r="501">
      <c r="R501" s="18"/>
    </row>
    <row r="502">
      <c r="R502" s="18"/>
    </row>
    <row r="503">
      <c r="R503" s="18"/>
    </row>
    <row r="504">
      <c r="R504" s="18"/>
    </row>
    <row r="505">
      <c r="R505" s="18"/>
    </row>
    <row r="506">
      <c r="R506" s="18"/>
    </row>
    <row r="507">
      <c r="R507" s="18"/>
    </row>
    <row r="508">
      <c r="R508" s="18"/>
    </row>
    <row r="509">
      <c r="R509" s="18"/>
    </row>
    <row r="510">
      <c r="R510" s="18"/>
    </row>
    <row r="511">
      <c r="R511" s="18"/>
    </row>
    <row r="512">
      <c r="R512" s="18"/>
    </row>
    <row r="513">
      <c r="R513" s="18"/>
    </row>
    <row r="514">
      <c r="R514" s="18"/>
    </row>
    <row r="515">
      <c r="R515" s="18"/>
    </row>
    <row r="516">
      <c r="R516" s="18"/>
    </row>
    <row r="517">
      <c r="R517" s="18"/>
    </row>
    <row r="518">
      <c r="R518" s="18"/>
    </row>
    <row r="519">
      <c r="R519" s="18"/>
    </row>
    <row r="520">
      <c r="R520" s="18"/>
    </row>
    <row r="521">
      <c r="R521" s="18"/>
    </row>
    <row r="522">
      <c r="R522" s="18"/>
    </row>
    <row r="523">
      <c r="R523" s="18"/>
    </row>
    <row r="524">
      <c r="R524" s="18"/>
    </row>
    <row r="525">
      <c r="R525" s="18"/>
    </row>
    <row r="526">
      <c r="R526" s="18"/>
    </row>
    <row r="527">
      <c r="R527" s="18"/>
    </row>
    <row r="528">
      <c r="R528" s="18"/>
    </row>
    <row r="529">
      <c r="R529" s="18"/>
    </row>
    <row r="530">
      <c r="R530" s="18"/>
    </row>
    <row r="531">
      <c r="R531" s="18"/>
    </row>
    <row r="532">
      <c r="R532" s="18"/>
    </row>
    <row r="533">
      <c r="R533" s="18"/>
    </row>
    <row r="534">
      <c r="R534" s="18"/>
    </row>
    <row r="535">
      <c r="R535" s="18"/>
    </row>
    <row r="536">
      <c r="R536" s="18"/>
    </row>
    <row r="537">
      <c r="R537" s="18"/>
    </row>
    <row r="538">
      <c r="R538" s="18"/>
    </row>
    <row r="539">
      <c r="R539" s="18"/>
    </row>
    <row r="540">
      <c r="R540" s="18"/>
    </row>
    <row r="541">
      <c r="R541" s="18"/>
    </row>
    <row r="542">
      <c r="R542" s="18"/>
    </row>
    <row r="543">
      <c r="R543" s="18"/>
    </row>
    <row r="544">
      <c r="R544" s="18"/>
    </row>
    <row r="545">
      <c r="R545" s="18"/>
    </row>
    <row r="546">
      <c r="R546" s="18"/>
    </row>
    <row r="547">
      <c r="R547" s="18"/>
    </row>
    <row r="548">
      <c r="R548" s="18"/>
    </row>
    <row r="549">
      <c r="R549" s="18"/>
    </row>
    <row r="550">
      <c r="R550" s="18"/>
    </row>
    <row r="551">
      <c r="R551" s="18"/>
    </row>
    <row r="552">
      <c r="R552" s="18"/>
    </row>
    <row r="553">
      <c r="R553" s="18"/>
    </row>
    <row r="554">
      <c r="R554" s="18"/>
    </row>
    <row r="555">
      <c r="R555" s="18"/>
    </row>
    <row r="556">
      <c r="R556" s="18"/>
    </row>
    <row r="557">
      <c r="R557" s="18"/>
    </row>
    <row r="558">
      <c r="R558" s="18"/>
    </row>
    <row r="559">
      <c r="R559" s="18"/>
    </row>
    <row r="560">
      <c r="R560" s="18"/>
    </row>
    <row r="561">
      <c r="R561" s="18"/>
    </row>
    <row r="562">
      <c r="R562" s="18"/>
    </row>
    <row r="563">
      <c r="R563" s="18"/>
    </row>
    <row r="564">
      <c r="R564" s="18"/>
    </row>
    <row r="565">
      <c r="R565" s="18"/>
    </row>
    <row r="566">
      <c r="R566" s="18"/>
    </row>
    <row r="567">
      <c r="R567" s="18"/>
    </row>
    <row r="568">
      <c r="R568" s="18"/>
    </row>
    <row r="569">
      <c r="R569" s="18"/>
    </row>
    <row r="570">
      <c r="R570" s="18"/>
    </row>
    <row r="571">
      <c r="R571" s="18"/>
    </row>
    <row r="572">
      <c r="R572" s="18"/>
    </row>
    <row r="573">
      <c r="R573" s="18"/>
    </row>
    <row r="574">
      <c r="R574" s="18"/>
    </row>
    <row r="575">
      <c r="R575" s="18"/>
    </row>
    <row r="576">
      <c r="R576" s="18"/>
    </row>
    <row r="577">
      <c r="R577" s="18"/>
    </row>
    <row r="578">
      <c r="R578" s="18"/>
    </row>
    <row r="579">
      <c r="R579" s="18"/>
    </row>
    <row r="580">
      <c r="R580" s="18"/>
    </row>
    <row r="581">
      <c r="R581" s="18"/>
    </row>
    <row r="582">
      <c r="R582" s="18"/>
    </row>
    <row r="583">
      <c r="R583" s="18"/>
    </row>
    <row r="584">
      <c r="R584" s="18"/>
    </row>
    <row r="585">
      <c r="R585" s="18"/>
    </row>
    <row r="586">
      <c r="R586" s="18"/>
    </row>
    <row r="587">
      <c r="R587" s="18"/>
    </row>
    <row r="588">
      <c r="R588" s="18"/>
    </row>
    <row r="589">
      <c r="R589" s="18"/>
    </row>
    <row r="590">
      <c r="R590" s="18"/>
    </row>
    <row r="591">
      <c r="R591" s="18"/>
    </row>
    <row r="592">
      <c r="R592" s="18"/>
    </row>
    <row r="593">
      <c r="R593" s="18"/>
    </row>
    <row r="594">
      <c r="R594" s="18"/>
    </row>
    <row r="595">
      <c r="R595" s="18"/>
    </row>
    <row r="596">
      <c r="R596" s="18"/>
    </row>
    <row r="597">
      <c r="R597" s="18"/>
    </row>
    <row r="598">
      <c r="R598" s="18"/>
    </row>
    <row r="599">
      <c r="R599" s="18"/>
    </row>
    <row r="600">
      <c r="R600" s="18"/>
    </row>
    <row r="601">
      <c r="R601" s="18"/>
    </row>
    <row r="602">
      <c r="R602" s="18"/>
    </row>
    <row r="603">
      <c r="R603" s="18"/>
    </row>
    <row r="604">
      <c r="R604" s="18"/>
    </row>
    <row r="605">
      <c r="R605" s="18"/>
    </row>
    <row r="606">
      <c r="R606" s="18"/>
    </row>
    <row r="607">
      <c r="R607" s="18"/>
    </row>
    <row r="608">
      <c r="R608" s="18"/>
    </row>
    <row r="609">
      <c r="R609" s="18"/>
    </row>
    <row r="610">
      <c r="R610" s="18"/>
    </row>
    <row r="611">
      <c r="R611" s="18"/>
    </row>
    <row r="612">
      <c r="R612" s="18"/>
    </row>
    <row r="613">
      <c r="R613" s="18"/>
    </row>
    <row r="614">
      <c r="R614" s="18"/>
    </row>
    <row r="615">
      <c r="R615" s="18"/>
    </row>
    <row r="616">
      <c r="R616" s="18"/>
    </row>
    <row r="617">
      <c r="R617" s="18"/>
    </row>
    <row r="618">
      <c r="R618" s="18"/>
    </row>
    <row r="619">
      <c r="R619" s="18"/>
    </row>
    <row r="620">
      <c r="R620" s="18"/>
    </row>
    <row r="621">
      <c r="R621" s="18"/>
    </row>
    <row r="622">
      <c r="R622" s="18"/>
    </row>
    <row r="623">
      <c r="R623" s="18"/>
    </row>
    <row r="624">
      <c r="R624" s="18"/>
    </row>
    <row r="625">
      <c r="R625" s="18"/>
    </row>
    <row r="626">
      <c r="R626" s="18"/>
    </row>
    <row r="627">
      <c r="R627" s="18"/>
    </row>
    <row r="628">
      <c r="R628" s="18"/>
    </row>
    <row r="629">
      <c r="R629" s="18"/>
    </row>
    <row r="630">
      <c r="R630" s="18"/>
    </row>
    <row r="631">
      <c r="R631" s="18"/>
    </row>
    <row r="632">
      <c r="R632" s="18"/>
    </row>
    <row r="633">
      <c r="R633" s="18"/>
    </row>
    <row r="634">
      <c r="R634" s="18"/>
    </row>
    <row r="635">
      <c r="R635" s="18"/>
    </row>
    <row r="636">
      <c r="R636" s="18"/>
    </row>
    <row r="637">
      <c r="R637" s="18"/>
    </row>
    <row r="638">
      <c r="R638" s="18"/>
    </row>
    <row r="639">
      <c r="R639" s="18"/>
    </row>
    <row r="640">
      <c r="R640" s="18"/>
    </row>
    <row r="641">
      <c r="R641" s="18"/>
    </row>
    <row r="642">
      <c r="R642" s="18"/>
    </row>
    <row r="643">
      <c r="R643" s="18"/>
    </row>
    <row r="644">
      <c r="R644" s="18"/>
    </row>
    <row r="645">
      <c r="R645" s="18"/>
    </row>
    <row r="646">
      <c r="R646" s="18"/>
    </row>
    <row r="647">
      <c r="R647" s="18"/>
    </row>
    <row r="648">
      <c r="R648" s="18"/>
    </row>
    <row r="649">
      <c r="R649" s="18"/>
    </row>
    <row r="650">
      <c r="R650" s="18"/>
    </row>
    <row r="651">
      <c r="R651" s="18"/>
    </row>
    <row r="652">
      <c r="R652" s="18"/>
    </row>
    <row r="653">
      <c r="R653" s="18"/>
    </row>
    <row r="654">
      <c r="R654" s="18"/>
    </row>
    <row r="655">
      <c r="R655" s="18"/>
    </row>
    <row r="656">
      <c r="R656" s="18"/>
    </row>
    <row r="657">
      <c r="R657" s="18"/>
    </row>
    <row r="658">
      <c r="R658" s="18"/>
    </row>
    <row r="659">
      <c r="R659" s="18"/>
    </row>
    <row r="660">
      <c r="R660" s="18"/>
    </row>
    <row r="661">
      <c r="R661" s="18"/>
    </row>
    <row r="662">
      <c r="R662" s="18"/>
    </row>
    <row r="663">
      <c r="R663" s="18"/>
    </row>
    <row r="664">
      <c r="R664" s="18"/>
    </row>
    <row r="665">
      <c r="R665" s="18"/>
    </row>
    <row r="666">
      <c r="R666" s="18"/>
    </row>
    <row r="667">
      <c r="R667" s="18"/>
    </row>
    <row r="668">
      <c r="R668" s="18"/>
    </row>
    <row r="669">
      <c r="R669" s="18"/>
    </row>
    <row r="670">
      <c r="R670" s="18"/>
    </row>
    <row r="671">
      <c r="R671" s="18"/>
    </row>
    <row r="672">
      <c r="R672" s="18"/>
    </row>
    <row r="673">
      <c r="R673" s="18"/>
    </row>
    <row r="674">
      <c r="R674" s="18"/>
    </row>
    <row r="675">
      <c r="R675" s="18"/>
    </row>
    <row r="676">
      <c r="R676" s="18"/>
    </row>
    <row r="677">
      <c r="R677" s="18"/>
    </row>
    <row r="678">
      <c r="R678" s="18"/>
    </row>
    <row r="679">
      <c r="R679" s="18"/>
    </row>
    <row r="680">
      <c r="R680" s="18"/>
    </row>
    <row r="681">
      <c r="R681" s="18"/>
    </row>
    <row r="682">
      <c r="R682" s="18"/>
    </row>
    <row r="683">
      <c r="R683" s="18"/>
    </row>
    <row r="684">
      <c r="R684" s="18"/>
    </row>
    <row r="685">
      <c r="R685" s="18"/>
    </row>
    <row r="686">
      <c r="R686" s="18"/>
    </row>
    <row r="687">
      <c r="R687" s="18"/>
    </row>
    <row r="688">
      <c r="R688" s="18"/>
    </row>
    <row r="689">
      <c r="R689" s="18"/>
    </row>
    <row r="690">
      <c r="R690" s="18"/>
    </row>
    <row r="691">
      <c r="R691" s="18"/>
    </row>
    <row r="692">
      <c r="R692" s="18"/>
    </row>
    <row r="693">
      <c r="R693" s="18"/>
    </row>
    <row r="694">
      <c r="R694" s="18"/>
    </row>
    <row r="695">
      <c r="R695" s="18"/>
    </row>
    <row r="696">
      <c r="R696" s="18"/>
    </row>
    <row r="697">
      <c r="R697" s="18"/>
    </row>
    <row r="698">
      <c r="R698" s="18"/>
    </row>
    <row r="699">
      <c r="R699" s="18"/>
    </row>
    <row r="700">
      <c r="R700" s="18"/>
    </row>
    <row r="701">
      <c r="R701" s="18"/>
    </row>
    <row r="702">
      <c r="R702" s="18"/>
    </row>
    <row r="703">
      <c r="R703" s="18"/>
    </row>
    <row r="704">
      <c r="R704" s="18"/>
    </row>
    <row r="705">
      <c r="R705" s="18"/>
    </row>
    <row r="706">
      <c r="R706" s="18"/>
    </row>
    <row r="707">
      <c r="R707" s="18"/>
    </row>
    <row r="708">
      <c r="R708" s="18"/>
    </row>
    <row r="709">
      <c r="R709" s="18"/>
    </row>
    <row r="710">
      <c r="R710" s="18"/>
    </row>
    <row r="711">
      <c r="R711" s="18"/>
    </row>
    <row r="712">
      <c r="R712" s="18"/>
    </row>
    <row r="713">
      <c r="R713" s="18"/>
    </row>
    <row r="714">
      <c r="R714" s="18"/>
    </row>
    <row r="715">
      <c r="R715" s="18"/>
    </row>
    <row r="716">
      <c r="R716" s="18"/>
    </row>
    <row r="717">
      <c r="R717" s="18"/>
    </row>
    <row r="718">
      <c r="R718" s="18"/>
    </row>
    <row r="719">
      <c r="R719" s="18"/>
    </row>
    <row r="720">
      <c r="R720" s="18"/>
    </row>
    <row r="721">
      <c r="R721" s="18"/>
    </row>
    <row r="722">
      <c r="R722" s="18"/>
    </row>
    <row r="723">
      <c r="R723" s="18"/>
    </row>
    <row r="724">
      <c r="R724" s="18"/>
    </row>
    <row r="725">
      <c r="R725" s="18"/>
    </row>
    <row r="726">
      <c r="R726" s="18"/>
    </row>
    <row r="727">
      <c r="R727" s="18"/>
    </row>
    <row r="728">
      <c r="R728" s="18"/>
    </row>
    <row r="729">
      <c r="R729" s="18"/>
    </row>
    <row r="730">
      <c r="R730" s="18"/>
    </row>
    <row r="731">
      <c r="R731" s="18"/>
    </row>
    <row r="732">
      <c r="R732" s="18"/>
    </row>
    <row r="733">
      <c r="R733" s="18"/>
    </row>
    <row r="734">
      <c r="R734" s="18"/>
    </row>
    <row r="735">
      <c r="R735" s="18"/>
    </row>
    <row r="736">
      <c r="R736" s="18"/>
    </row>
    <row r="737">
      <c r="R737" s="18"/>
    </row>
    <row r="738">
      <c r="R738" s="18"/>
    </row>
    <row r="739">
      <c r="R739" s="18"/>
    </row>
    <row r="740">
      <c r="R740" s="18"/>
    </row>
    <row r="741">
      <c r="R741" s="18"/>
    </row>
    <row r="742">
      <c r="R742" s="18"/>
    </row>
    <row r="743">
      <c r="R743" s="18"/>
    </row>
    <row r="744">
      <c r="R744" s="18"/>
    </row>
    <row r="745">
      <c r="R745" s="18"/>
    </row>
    <row r="746">
      <c r="R746" s="18"/>
    </row>
    <row r="747">
      <c r="R747" s="18"/>
    </row>
    <row r="748">
      <c r="R748" s="18"/>
    </row>
    <row r="749">
      <c r="R749" s="18"/>
    </row>
    <row r="750">
      <c r="R750" s="18"/>
    </row>
    <row r="751">
      <c r="R751" s="18"/>
    </row>
    <row r="752">
      <c r="R752" s="18"/>
    </row>
    <row r="753">
      <c r="R753" s="18"/>
    </row>
    <row r="754">
      <c r="R754" s="18"/>
    </row>
    <row r="755">
      <c r="R755" s="18"/>
    </row>
    <row r="756">
      <c r="R756" s="18"/>
    </row>
    <row r="757">
      <c r="R757" s="18"/>
    </row>
    <row r="758">
      <c r="R758" s="18"/>
    </row>
    <row r="759">
      <c r="R759" s="18"/>
    </row>
    <row r="760">
      <c r="R760" s="18"/>
    </row>
    <row r="761">
      <c r="R761" s="18"/>
    </row>
    <row r="762">
      <c r="R762" s="18"/>
    </row>
    <row r="763">
      <c r="R763" s="18"/>
    </row>
    <row r="764">
      <c r="R764" s="18"/>
    </row>
    <row r="765">
      <c r="R765" s="18"/>
    </row>
    <row r="766">
      <c r="R766" s="18"/>
    </row>
    <row r="767">
      <c r="R767" s="18"/>
    </row>
    <row r="768">
      <c r="R768" s="18"/>
    </row>
    <row r="769">
      <c r="R769" s="18"/>
    </row>
    <row r="770">
      <c r="R770" s="18"/>
    </row>
    <row r="771">
      <c r="R771" s="18"/>
    </row>
    <row r="772">
      <c r="R772" s="18"/>
    </row>
    <row r="773">
      <c r="R773" s="18"/>
    </row>
    <row r="774">
      <c r="R774" s="18"/>
    </row>
    <row r="775">
      <c r="R775" s="18"/>
    </row>
    <row r="776">
      <c r="R776" s="18"/>
    </row>
    <row r="777">
      <c r="R777" s="18"/>
    </row>
    <row r="778">
      <c r="R778" s="18"/>
    </row>
    <row r="779">
      <c r="R779" s="18"/>
    </row>
    <row r="780">
      <c r="R780" s="18"/>
    </row>
    <row r="781">
      <c r="R781" s="18"/>
    </row>
    <row r="782">
      <c r="R782" s="18"/>
    </row>
    <row r="783">
      <c r="R783" s="18"/>
    </row>
    <row r="784">
      <c r="R784" s="18"/>
    </row>
    <row r="785">
      <c r="R785" s="18"/>
    </row>
    <row r="786">
      <c r="R786" s="18"/>
    </row>
    <row r="787">
      <c r="R787" s="18"/>
    </row>
    <row r="788">
      <c r="R788" s="18"/>
    </row>
    <row r="789">
      <c r="R789" s="18"/>
    </row>
    <row r="790">
      <c r="R790" s="18"/>
    </row>
    <row r="791">
      <c r="R791" s="18"/>
    </row>
    <row r="792">
      <c r="R792" s="18"/>
    </row>
    <row r="793">
      <c r="R793" s="18"/>
    </row>
    <row r="794">
      <c r="R794" s="18"/>
    </row>
    <row r="795">
      <c r="R795" s="18"/>
    </row>
    <row r="796">
      <c r="R796" s="18"/>
    </row>
    <row r="797">
      <c r="R797" s="18"/>
    </row>
    <row r="798">
      <c r="R798" s="18"/>
    </row>
    <row r="799">
      <c r="R799" s="18"/>
    </row>
    <row r="800">
      <c r="R800" s="18"/>
    </row>
    <row r="801">
      <c r="R801" s="18"/>
    </row>
    <row r="802">
      <c r="R802" s="18"/>
    </row>
    <row r="803">
      <c r="R803" s="18"/>
    </row>
    <row r="804">
      <c r="R804" s="18"/>
    </row>
    <row r="805">
      <c r="R805" s="18"/>
    </row>
    <row r="806">
      <c r="R806" s="18"/>
    </row>
    <row r="807">
      <c r="R807" s="18"/>
    </row>
    <row r="808">
      <c r="R808" s="18"/>
    </row>
    <row r="809">
      <c r="R809" s="18"/>
    </row>
    <row r="810">
      <c r="R810" s="18"/>
    </row>
    <row r="811">
      <c r="R811" s="18"/>
    </row>
    <row r="812">
      <c r="R812" s="18"/>
    </row>
    <row r="813">
      <c r="R813" s="18"/>
    </row>
    <row r="814">
      <c r="R814" s="18"/>
    </row>
    <row r="815">
      <c r="R815" s="18"/>
    </row>
    <row r="816">
      <c r="R816" s="18"/>
    </row>
    <row r="817">
      <c r="R817" s="18"/>
    </row>
    <row r="818">
      <c r="R818" s="18"/>
    </row>
    <row r="819">
      <c r="R819" s="18"/>
    </row>
    <row r="820">
      <c r="R820" s="18"/>
    </row>
    <row r="821">
      <c r="R821" s="18"/>
    </row>
    <row r="822">
      <c r="R822" s="18"/>
    </row>
    <row r="823">
      <c r="R823" s="18"/>
    </row>
    <row r="824">
      <c r="R824" s="18"/>
    </row>
    <row r="825">
      <c r="R825" s="18"/>
    </row>
    <row r="826">
      <c r="R826" s="18"/>
    </row>
    <row r="827">
      <c r="R827" s="18"/>
    </row>
    <row r="828">
      <c r="R828" s="18"/>
    </row>
    <row r="829">
      <c r="R829" s="18"/>
    </row>
    <row r="830">
      <c r="R830" s="18"/>
    </row>
    <row r="831">
      <c r="R831" s="18"/>
    </row>
    <row r="832">
      <c r="R832" s="18"/>
    </row>
    <row r="833">
      <c r="R833" s="18"/>
    </row>
    <row r="834">
      <c r="R834" s="18"/>
    </row>
    <row r="835">
      <c r="R835" s="18"/>
    </row>
    <row r="836">
      <c r="R836" s="18"/>
    </row>
    <row r="837">
      <c r="R837" s="18"/>
    </row>
    <row r="838">
      <c r="R838" s="18"/>
    </row>
    <row r="839">
      <c r="R839" s="18"/>
    </row>
    <row r="840">
      <c r="R840" s="18"/>
    </row>
    <row r="841">
      <c r="R841" s="18"/>
    </row>
    <row r="842">
      <c r="R842" s="18"/>
    </row>
    <row r="843">
      <c r="R843" s="18"/>
    </row>
    <row r="844">
      <c r="R844" s="18"/>
    </row>
    <row r="845">
      <c r="R845" s="18"/>
    </row>
    <row r="846">
      <c r="R846" s="18"/>
    </row>
    <row r="847">
      <c r="R847" s="18"/>
    </row>
    <row r="848">
      <c r="R848" s="18"/>
    </row>
    <row r="849">
      <c r="R849" s="18"/>
    </row>
    <row r="850">
      <c r="R850" s="18"/>
    </row>
    <row r="851">
      <c r="R851" s="18"/>
    </row>
    <row r="852">
      <c r="R852" s="18"/>
    </row>
    <row r="853">
      <c r="R853" s="18"/>
    </row>
    <row r="854">
      <c r="R854" s="18"/>
    </row>
    <row r="855">
      <c r="R855" s="18"/>
    </row>
    <row r="856">
      <c r="R856" s="18"/>
    </row>
    <row r="857">
      <c r="R857" s="18"/>
    </row>
    <row r="858">
      <c r="R858" s="18"/>
    </row>
    <row r="859">
      <c r="R859" s="18"/>
    </row>
    <row r="860">
      <c r="R860" s="18"/>
    </row>
    <row r="861">
      <c r="R861" s="18"/>
    </row>
    <row r="862">
      <c r="R862" s="18"/>
    </row>
    <row r="863">
      <c r="R863" s="18"/>
    </row>
    <row r="864">
      <c r="R864" s="18"/>
    </row>
    <row r="865">
      <c r="R865" s="18"/>
    </row>
    <row r="866">
      <c r="R866" s="18"/>
    </row>
    <row r="867">
      <c r="R867" s="18"/>
    </row>
    <row r="868">
      <c r="R868" s="18"/>
    </row>
    <row r="869">
      <c r="R869" s="18"/>
    </row>
    <row r="870">
      <c r="R870" s="18"/>
    </row>
    <row r="871">
      <c r="R871" s="18"/>
    </row>
    <row r="872">
      <c r="R872" s="18"/>
    </row>
    <row r="873">
      <c r="R873" s="18"/>
    </row>
    <row r="874">
      <c r="R874" s="18"/>
    </row>
    <row r="875">
      <c r="R875" s="18"/>
    </row>
    <row r="876">
      <c r="R876" s="18"/>
    </row>
    <row r="877">
      <c r="R877" s="18"/>
    </row>
    <row r="878">
      <c r="R878" s="18"/>
    </row>
    <row r="879">
      <c r="R879" s="18"/>
    </row>
    <row r="880">
      <c r="R880" s="18"/>
    </row>
    <row r="881">
      <c r="R881" s="18"/>
    </row>
    <row r="882">
      <c r="R882" s="18"/>
    </row>
    <row r="883">
      <c r="R883" s="18"/>
    </row>
    <row r="884">
      <c r="R884" s="18"/>
    </row>
    <row r="885">
      <c r="R885" s="18"/>
    </row>
    <row r="886">
      <c r="R886" s="18"/>
    </row>
    <row r="887">
      <c r="R887" s="18"/>
    </row>
    <row r="888">
      <c r="R888" s="18"/>
    </row>
    <row r="889">
      <c r="R889" s="18"/>
    </row>
    <row r="890">
      <c r="R890" s="18"/>
    </row>
    <row r="891">
      <c r="R891" s="18"/>
    </row>
    <row r="892">
      <c r="R892" s="18"/>
    </row>
    <row r="893">
      <c r="R893" s="18"/>
    </row>
    <row r="894">
      <c r="R894" s="18"/>
    </row>
    <row r="895">
      <c r="R895" s="18"/>
    </row>
    <row r="896">
      <c r="R896" s="18"/>
    </row>
    <row r="897">
      <c r="R897" s="18"/>
    </row>
    <row r="898">
      <c r="R898" s="18"/>
    </row>
    <row r="899">
      <c r="R899" s="18"/>
    </row>
    <row r="900">
      <c r="R900" s="18"/>
    </row>
    <row r="901">
      <c r="R901" s="18"/>
    </row>
    <row r="902">
      <c r="R902" s="18"/>
    </row>
    <row r="903">
      <c r="R903" s="18"/>
    </row>
    <row r="904">
      <c r="R904" s="18"/>
    </row>
    <row r="905">
      <c r="R905" s="18"/>
    </row>
    <row r="906">
      <c r="R906" s="18"/>
    </row>
    <row r="907">
      <c r="R907" s="18"/>
    </row>
    <row r="908">
      <c r="R908" s="18"/>
    </row>
    <row r="909">
      <c r="R909" s="18"/>
    </row>
    <row r="910">
      <c r="R910" s="18"/>
    </row>
    <row r="911">
      <c r="R911" s="18"/>
    </row>
    <row r="912">
      <c r="R912" s="18"/>
    </row>
    <row r="913">
      <c r="R913" s="18"/>
    </row>
    <row r="914">
      <c r="R914" s="18"/>
    </row>
    <row r="915">
      <c r="R915" s="18"/>
    </row>
    <row r="916">
      <c r="R916" s="18"/>
    </row>
    <row r="917">
      <c r="R917" s="18"/>
    </row>
    <row r="918">
      <c r="R918" s="18"/>
    </row>
    <row r="919">
      <c r="R919" s="18"/>
    </row>
    <row r="920">
      <c r="R920" s="18"/>
    </row>
    <row r="921">
      <c r="R921" s="18"/>
    </row>
    <row r="922">
      <c r="R922" s="18"/>
    </row>
    <row r="923">
      <c r="R923" s="18"/>
    </row>
    <row r="924">
      <c r="R924" s="18"/>
    </row>
    <row r="925">
      <c r="R925" s="18"/>
    </row>
    <row r="926">
      <c r="R926" s="18"/>
    </row>
    <row r="927">
      <c r="R927" s="18"/>
    </row>
    <row r="928">
      <c r="R928" s="18"/>
    </row>
    <row r="929">
      <c r="R929" s="18"/>
    </row>
    <row r="930">
      <c r="R930" s="18"/>
    </row>
    <row r="931">
      <c r="R931" s="18"/>
    </row>
    <row r="932">
      <c r="R932" s="18"/>
    </row>
    <row r="933">
      <c r="R933" s="18"/>
    </row>
    <row r="934">
      <c r="R934" s="18"/>
    </row>
    <row r="935">
      <c r="R935" s="18"/>
    </row>
    <row r="936">
      <c r="R936" s="18"/>
    </row>
    <row r="937">
      <c r="R937" s="18"/>
    </row>
    <row r="938">
      <c r="R938" s="18"/>
    </row>
    <row r="939">
      <c r="R939" s="18"/>
    </row>
    <row r="940">
      <c r="R940" s="18"/>
    </row>
    <row r="941">
      <c r="R941" s="18"/>
    </row>
    <row r="942">
      <c r="R942" s="18"/>
    </row>
    <row r="943">
      <c r="R943" s="18"/>
    </row>
    <row r="944">
      <c r="R944" s="18"/>
    </row>
    <row r="945">
      <c r="R945" s="18"/>
    </row>
    <row r="946">
      <c r="R946" s="18"/>
    </row>
    <row r="947">
      <c r="R947" s="18"/>
    </row>
    <row r="948">
      <c r="R948" s="18"/>
    </row>
    <row r="949">
      <c r="R949" s="18"/>
    </row>
    <row r="950">
      <c r="R950" s="18"/>
    </row>
    <row r="951">
      <c r="R951" s="18"/>
    </row>
    <row r="952">
      <c r="R952" s="18"/>
    </row>
    <row r="953">
      <c r="R953" s="18"/>
    </row>
    <row r="954">
      <c r="R954" s="18"/>
    </row>
    <row r="955">
      <c r="R955" s="18"/>
    </row>
    <row r="956">
      <c r="R956" s="18"/>
    </row>
    <row r="957">
      <c r="R957" s="18"/>
    </row>
    <row r="958">
      <c r="R958" s="18"/>
    </row>
    <row r="959">
      <c r="R959" s="18"/>
    </row>
    <row r="960">
      <c r="R960" s="18"/>
    </row>
    <row r="961">
      <c r="R961" s="18"/>
    </row>
    <row r="962">
      <c r="R962" s="18"/>
    </row>
    <row r="963">
      <c r="R963" s="18"/>
    </row>
    <row r="964">
      <c r="R964" s="18"/>
    </row>
    <row r="965">
      <c r="R965" s="18"/>
    </row>
    <row r="966">
      <c r="R966" s="18"/>
    </row>
    <row r="967">
      <c r="R967" s="18"/>
    </row>
    <row r="968">
      <c r="R968" s="18"/>
    </row>
    <row r="969">
      <c r="R969" s="18"/>
    </row>
    <row r="970">
      <c r="R970" s="18"/>
    </row>
    <row r="971">
      <c r="R971" s="18"/>
    </row>
    <row r="972">
      <c r="R972" s="18"/>
    </row>
    <row r="973">
      <c r="R973" s="18"/>
    </row>
    <row r="974">
      <c r="R974" s="18"/>
    </row>
    <row r="975">
      <c r="R975" s="18"/>
    </row>
    <row r="976">
      <c r="R976" s="18"/>
    </row>
    <row r="977">
      <c r="R977" s="18"/>
    </row>
    <row r="978">
      <c r="R978" s="18"/>
    </row>
    <row r="979">
      <c r="R979" s="18"/>
    </row>
    <row r="980">
      <c r="R980" s="18"/>
    </row>
    <row r="981">
      <c r="R981" s="18"/>
    </row>
    <row r="982">
      <c r="R982" s="18"/>
    </row>
    <row r="983">
      <c r="R983" s="18"/>
    </row>
    <row r="984">
      <c r="R984" s="18"/>
    </row>
    <row r="985">
      <c r="R985" s="18"/>
    </row>
    <row r="986">
      <c r="R986" s="18"/>
    </row>
    <row r="987">
      <c r="R987" s="18"/>
    </row>
    <row r="988">
      <c r="R988" s="18"/>
    </row>
    <row r="989">
      <c r="R989" s="18"/>
    </row>
    <row r="990">
      <c r="R990" s="18"/>
    </row>
    <row r="991">
      <c r="R991" s="18"/>
    </row>
    <row r="992">
      <c r="R992" s="18"/>
    </row>
    <row r="993">
      <c r="R993" s="18"/>
    </row>
    <row r="994">
      <c r="R994" s="18"/>
    </row>
    <row r="995">
      <c r="R995" s="18"/>
    </row>
    <row r="996">
      <c r="R996" s="18"/>
    </row>
    <row r="997">
      <c r="R997" s="18"/>
    </row>
    <row r="998">
      <c r="R998" s="18"/>
    </row>
    <row r="999">
      <c r="R999" s="18"/>
    </row>
    <row r="1000">
      <c r="R1000" s="18"/>
    </row>
    <row r="1001">
      <c r="R1001" s="18"/>
    </row>
    <row r="1002">
      <c r="R1002" s="18"/>
    </row>
  </sheetData>
  <dataValidations>
    <dataValidation type="custom" allowBlank="1" showDropDown="1" sqref="E2:G107 M2:M10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2" max="2" width="16.5"/>
    <col customWidth="1" min="3" max="3" width="19.0"/>
    <col customWidth="1" min="4" max="4" width="18.13"/>
  </cols>
  <sheetData>
    <row r="1" ht="22.5" customHeight="1">
      <c r="A1" s="229" t="s">
        <v>351</v>
      </c>
      <c r="B1" s="229" t="s">
        <v>29</v>
      </c>
      <c r="C1" s="229" t="s">
        <v>798</v>
      </c>
      <c r="D1" s="229" t="s">
        <v>799</v>
      </c>
    </row>
    <row r="2" ht="22.5" customHeight="1">
      <c r="A2" s="240" t="s">
        <v>737</v>
      </c>
      <c r="B2" s="240">
        <v>3.8</v>
      </c>
      <c r="C2" s="240">
        <v>307.0</v>
      </c>
      <c r="D2" s="240">
        <v>453.0</v>
      </c>
    </row>
    <row r="3" ht="22.5" customHeight="1">
      <c r="A3" s="240" t="s">
        <v>738</v>
      </c>
      <c r="B3" s="240">
        <v>3.7</v>
      </c>
      <c r="C3" s="240">
        <v>273.0</v>
      </c>
      <c r="D3" s="240">
        <v>419.0</v>
      </c>
    </row>
    <row r="4" ht="22.5" customHeight="1">
      <c r="A4" s="240" t="s">
        <v>739</v>
      </c>
      <c r="B4" s="240">
        <v>3.8</v>
      </c>
      <c r="C4" s="240">
        <v>289.0</v>
      </c>
      <c r="D4" s="240">
        <v>435.0</v>
      </c>
    </row>
    <row r="5" ht="22.5" customHeight="1">
      <c r="A5" s="240" t="s">
        <v>740</v>
      </c>
      <c r="B5" s="240">
        <v>3.7</v>
      </c>
      <c r="C5" s="240">
        <v>223.0</v>
      </c>
      <c r="D5" s="240">
        <v>372.0</v>
      </c>
    </row>
    <row r="6" ht="22.5" customHeight="1">
      <c r="A6" s="240" t="s">
        <v>352</v>
      </c>
      <c r="B6" s="240">
        <v>3.6</v>
      </c>
      <c r="C6" s="240">
        <v>242.0</v>
      </c>
      <c r="D6" s="240">
        <v>366.0</v>
      </c>
    </row>
    <row r="7" ht="22.5" customHeight="1">
      <c r="A7" s="240" t="s">
        <v>741</v>
      </c>
      <c r="B7" s="240">
        <v>3.5</v>
      </c>
      <c r="C7" s="240">
        <v>242.0</v>
      </c>
      <c r="D7" s="240">
        <v>364.0</v>
      </c>
    </row>
    <row r="8" ht="22.5" customHeight="1">
      <c r="A8" s="240" t="s">
        <v>742</v>
      </c>
      <c r="B8" s="240">
        <v>3.7</v>
      </c>
      <c r="C8" s="240">
        <v>202.0</v>
      </c>
      <c r="D8" s="240">
        <v>303.0</v>
      </c>
    </row>
    <row r="9" ht="22.5" customHeight="1">
      <c r="A9" s="240" t="s">
        <v>743</v>
      </c>
      <c r="B9" s="240">
        <v>3.3</v>
      </c>
      <c r="C9" s="240">
        <v>181.0</v>
      </c>
      <c r="D9" s="240">
        <v>335.0</v>
      </c>
    </row>
    <row r="10" ht="22.5" customHeight="1">
      <c r="A10" s="240" t="s">
        <v>744</v>
      </c>
      <c r="B10" s="240">
        <v>3.4</v>
      </c>
      <c r="C10" s="240">
        <v>199.0</v>
      </c>
      <c r="D10" s="240">
        <v>300.0</v>
      </c>
    </row>
    <row r="11" ht="22.5" customHeight="1">
      <c r="A11" s="240" t="s">
        <v>745</v>
      </c>
      <c r="B11" s="240">
        <v>3.6</v>
      </c>
      <c r="C11" s="240">
        <v>190.0</v>
      </c>
      <c r="D11" s="240">
        <v>293.0</v>
      </c>
    </row>
    <row r="12" ht="22.5" customHeight="1">
      <c r="A12" s="240" t="s">
        <v>746</v>
      </c>
      <c r="B12" s="240">
        <v>3.4</v>
      </c>
      <c r="C12" s="240">
        <v>206.0</v>
      </c>
      <c r="D12" s="240">
        <v>310.0</v>
      </c>
    </row>
    <row r="13" ht="22.5" customHeight="1">
      <c r="A13" s="240" t="s">
        <v>747</v>
      </c>
      <c r="B13" s="265">
        <v>3.8</v>
      </c>
      <c r="C13" s="265">
        <v>175.0</v>
      </c>
      <c r="D13" s="240">
        <v>292.0</v>
      </c>
    </row>
    <row r="14" ht="22.5" customHeight="1">
      <c r="A14" s="240" t="s">
        <v>748</v>
      </c>
      <c r="B14" s="265">
        <v>3.7</v>
      </c>
      <c r="C14" s="265">
        <v>156.0</v>
      </c>
      <c r="D14" s="240">
        <v>250.0</v>
      </c>
    </row>
    <row r="15" ht="22.5" customHeight="1">
      <c r="A15" s="240" t="s">
        <v>749</v>
      </c>
      <c r="B15" s="265">
        <v>3.8</v>
      </c>
      <c r="C15" s="265">
        <v>153.0</v>
      </c>
      <c r="D15" s="240">
        <v>256.0</v>
      </c>
    </row>
    <row r="16" ht="22.5" customHeight="1">
      <c r="A16" s="240" t="s">
        <v>750</v>
      </c>
      <c r="B16" s="265">
        <v>3.7</v>
      </c>
      <c r="C16" s="265">
        <v>149.0</v>
      </c>
      <c r="D16" s="240">
        <v>225.0</v>
      </c>
    </row>
    <row r="17" ht="22.5" customHeight="1">
      <c r="A17" s="240" t="s">
        <v>751</v>
      </c>
      <c r="B17" s="265">
        <v>2.8</v>
      </c>
      <c r="C17" s="265">
        <v>167.0</v>
      </c>
      <c r="D17" s="240">
        <v>286.0</v>
      </c>
    </row>
    <row r="18" ht="22.5" customHeight="1">
      <c r="A18" s="240" t="s">
        <v>752</v>
      </c>
      <c r="B18" s="265">
        <v>2.7</v>
      </c>
      <c r="C18" s="265">
        <v>135.0</v>
      </c>
      <c r="D18" s="265">
        <v>252.0</v>
      </c>
    </row>
    <row r="19" ht="22.5" customHeight="1">
      <c r="A19" s="240" t="s">
        <v>753</v>
      </c>
      <c r="B19" s="265">
        <v>2.8</v>
      </c>
      <c r="C19" s="265">
        <v>129.0</v>
      </c>
      <c r="D19" s="265">
        <v>238.0</v>
      </c>
    </row>
    <row r="20" ht="22.5" customHeight="1">
      <c r="A20" s="240" t="s">
        <v>754</v>
      </c>
      <c r="B20" s="265">
        <v>2.6</v>
      </c>
      <c r="C20" s="265">
        <v>119.0</v>
      </c>
      <c r="D20" s="265">
        <v>221.0</v>
      </c>
    </row>
    <row r="21" ht="22.5" customHeight="1">
      <c r="A21" s="240" t="s">
        <v>755</v>
      </c>
      <c r="B21" s="265">
        <v>2.7</v>
      </c>
      <c r="C21" s="265">
        <v>126.0</v>
      </c>
      <c r="D21" s="265">
        <v>233.0</v>
      </c>
    </row>
    <row r="22" ht="22.5" customHeight="1">
      <c r="A22" s="240" t="s">
        <v>756</v>
      </c>
      <c r="B22" s="265">
        <v>2.1</v>
      </c>
      <c r="C22" s="265">
        <v>89.0</v>
      </c>
      <c r="D22" s="265">
        <v>166.0</v>
      </c>
    </row>
    <row r="23" ht="22.5" customHeight="1">
      <c r="A23" s="240" t="s">
        <v>757</v>
      </c>
      <c r="B23" s="265">
        <v>2.6</v>
      </c>
      <c r="C23" s="265">
        <v>110.0</v>
      </c>
      <c r="D23" s="265">
        <v>205.0</v>
      </c>
    </row>
    <row r="24" ht="22.5" customHeight="1">
      <c r="A24" s="240" t="s">
        <v>758</v>
      </c>
      <c r="B24" s="265">
        <v>1.8</v>
      </c>
      <c r="C24" s="265">
        <v>76.0</v>
      </c>
      <c r="D24" s="265">
        <v>140.0</v>
      </c>
    </row>
    <row r="25" ht="22.5" customHeight="1">
      <c r="A25" s="240" t="s">
        <v>759</v>
      </c>
      <c r="B25" s="265">
        <v>2.3</v>
      </c>
      <c r="C25" s="265">
        <v>101.0</v>
      </c>
      <c r="D25" s="265">
        <v>188.0</v>
      </c>
    </row>
    <row r="26" ht="22.5" customHeight="1">
      <c r="A26" s="240" t="s">
        <v>760</v>
      </c>
      <c r="B26" s="265">
        <v>2.6</v>
      </c>
      <c r="C26" s="265">
        <v>99.0</v>
      </c>
      <c r="D26" s="265">
        <v>184.0</v>
      </c>
    </row>
    <row r="27" ht="22.5" customHeight="1">
      <c r="A27" s="240" t="s">
        <v>761</v>
      </c>
      <c r="B27" s="265">
        <v>2.6</v>
      </c>
      <c r="C27" s="265">
        <v>102.0</v>
      </c>
      <c r="D27" s="265">
        <v>191.0</v>
      </c>
    </row>
    <row r="28" ht="22.5" customHeight="1">
      <c r="A28" s="240" t="s">
        <v>762</v>
      </c>
      <c r="B28" s="265">
        <v>2.3</v>
      </c>
      <c r="C28" s="265">
        <v>83.0</v>
      </c>
      <c r="D28" s="265">
        <v>154.0</v>
      </c>
    </row>
    <row r="29" ht="22.5" customHeight="1">
      <c r="A29" s="240" t="s">
        <v>763</v>
      </c>
      <c r="B29" s="265">
        <v>2.9</v>
      </c>
      <c r="C29" s="265">
        <v>114.0</v>
      </c>
      <c r="D29" s="265">
        <v>213.0</v>
      </c>
    </row>
    <row r="30" ht="22.5" customHeight="1">
      <c r="A30" s="240" t="s">
        <v>764</v>
      </c>
      <c r="B30" s="265">
        <v>1.6</v>
      </c>
      <c r="C30" s="265">
        <v>59.0</v>
      </c>
      <c r="D30" s="265">
        <v>109.0</v>
      </c>
    </row>
    <row r="31" ht="22.5" customHeight="1">
      <c r="A31" s="265" t="s">
        <v>149</v>
      </c>
      <c r="B31" s="265">
        <v>3.5</v>
      </c>
      <c r="C31" s="265">
        <v>187.0</v>
      </c>
      <c r="D31" s="265">
        <v>282.0</v>
      </c>
    </row>
  </sheetData>
  <drawing r:id="rId1"/>
  <tableParts count="1">
    <tablePart r:id="rId3"/>
  </tableParts>
</worksheet>
</file>